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c452440fc3190860/Masaüstü/"/>
    </mc:Choice>
  </mc:AlternateContent>
  <xr:revisionPtr revIDLastSave="22" documentId="13_ncr:1_{1FC304C9-5815-4DBD-9AB9-576ED6D0DD08}" xr6:coauthVersionLast="47" xr6:coauthVersionMax="47" xr10:uidLastSave="{E4413D36-708E-4A8E-8684-930A9406C7DD}"/>
  <bookViews>
    <workbookView xWindow="-108" yWindow="-108" windowWidth="30936" windowHeight="16776" xr2:uid="{00000000-000D-0000-FFFF-FFFF00000000}"/>
  </bookViews>
  <sheets>
    <sheet name="DP və TP" sheetId="10" r:id="rId1"/>
    <sheet name="Hesabat I" sheetId="3" r:id="rId2"/>
    <sheet name="Hesabat II" sheetId="4" r:id="rId3"/>
    <sheet name="Hesabat yarımillik" sheetId="5" r:id="rId4"/>
    <sheet name="Hesabat III" sheetId="6" r:id="rId5"/>
    <sheet name="Hesabat IV" sheetId="7" r:id="rId6"/>
    <sheet name="Hesabat illik" sheetId="8" r:id="rId7"/>
    <sheet name="DATA List" sheetId="9" state="hidden" r:id="rId8"/>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38" i="8" l="1"/>
  <c r="N38" i="8"/>
  <c r="M38" i="8"/>
  <c r="L38" i="8"/>
  <c r="K38" i="8"/>
  <c r="J38" i="8"/>
  <c r="I38" i="8"/>
  <c r="H38" i="8"/>
  <c r="G38" i="8"/>
  <c r="F38" i="8"/>
  <c r="E38" i="8"/>
  <c r="D38" i="8"/>
  <c r="C38" i="8"/>
  <c r="O37" i="8"/>
  <c r="N37" i="8"/>
  <c r="M37" i="8"/>
  <c r="L37" i="8"/>
  <c r="K37" i="8"/>
  <c r="J37" i="8"/>
  <c r="I37" i="8"/>
  <c r="H37" i="8"/>
  <c r="G37" i="8"/>
  <c r="F37" i="8"/>
  <c r="E37" i="8"/>
  <c r="D37" i="8"/>
  <c r="C37" i="8"/>
  <c r="O36" i="8"/>
  <c r="N36" i="8"/>
  <c r="M36" i="8"/>
  <c r="L36" i="8"/>
  <c r="K36" i="8"/>
  <c r="J36" i="8"/>
  <c r="I36" i="8"/>
  <c r="H36" i="8"/>
  <c r="G36" i="8"/>
  <c r="F36" i="8"/>
  <c r="E36" i="8"/>
  <c r="D36" i="8"/>
  <c r="C36" i="8"/>
  <c r="O35" i="8"/>
  <c r="N35" i="8"/>
  <c r="M35" i="8"/>
  <c r="L35" i="8"/>
  <c r="K35" i="8"/>
  <c r="J35" i="8"/>
  <c r="I35" i="8"/>
  <c r="H35" i="8"/>
  <c r="G35" i="8"/>
  <c r="F35" i="8"/>
  <c r="E35" i="8"/>
  <c r="D35" i="8"/>
  <c r="C35" i="8"/>
  <c r="O34" i="8"/>
  <c r="N34" i="8"/>
  <c r="M34" i="8"/>
  <c r="L34" i="8"/>
  <c r="K34" i="8"/>
  <c r="J34" i="8"/>
  <c r="I34" i="8"/>
  <c r="H34" i="8"/>
  <c r="G34" i="8"/>
  <c r="F34" i="8"/>
  <c r="E34" i="8"/>
  <c r="D34" i="8"/>
  <c r="C34" i="8"/>
  <c r="O33" i="8"/>
  <c r="N33" i="8"/>
  <c r="M33" i="8"/>
  <c r="L33" i="8"/>
  <c r="K33" i="8"/>
  <c r="J33" i="8"/>
  <c r="I33" i="8"/>
  <c r="H33" i="8"/>
  <c r="G33" i="8"/>
  <c r="F33" i="8"/>
  <c r="E33" i="8"/>
  <c r="D33" i="8"/>
  <c r="C33" i="8"/>
  <c r="O32" i="8"/>
  <c r="N32" i="8"/>
  <c r="M32" i="8"/>
  <c r="L32" i="8"/>
  <c r="K32" i="8"/>
  <c r="J32" i="8"/>
  <c r="I32" i="8"/>
  <c r="H32" i="8"/>
  <c r="G32" i="8"/>
  <c r="F32" i="8"/>
  <c r="E32" i="8"/>
  <c r="D32" i="8"/>
  <c r="C32" i="8"/>
  <c r="O31" i="8"/>
  <c r="N31" i="8"/>
  <c r="M31" i="8"/>
  <c r="L31" i="8"/>
  <c r="K31" i="8"/>
  <c r="J31" i="8"/>
  <c r="I31" i="8"/>
  <c r="H31" i="8"/>
  <c r="G31" i="8"/>
  <c r="F31" i="8"/>
  <c r="E31" i="8"/>
  <c r="D31" i="8"/>
  <c r="C31" i="8"/>
  <c r="O30" i="8"/>
  <c r="N30" i="8"/>
  <c r="M30" i="8"/>
  <c r="L30" i="8"/>
  <c r="K30" i="8"/>
  <c r="J30" i="8"/>
  <c r="I30" i="8"/>
  <c r="H30" i="8"/>
  <c r="G30" i="8"/>
  <c r="F30" i="8"/>
  <c r="E30" i="8"/>
  <c r="D30" i="8"/>
  <c r="C30" i="8"/>
  <c r="O29" i="8"/>
  <c r="N29" i="8"/>
  <c r="M29" i="8"/>
  <c r="L29" i="8"/>
  <c r="K29" i="8"/>
  <c r="J29" i="8"/>
  <c r="I29" i="8"/>
  <c r="H29" i="8"/>
  <c r="G29" i="8"/>
  <c r="F29" i="8"/>
  <c r="E29" i="8"/>
  <c r="D29" i="8"/>
  <c r="C29" i="8"/>
  <c r="O28" i="8"/>
  <c r="N28" i="8"/>
  <c r="M28" i="8"/>
  <c r="L28" i="8"/>
  <c r="K28" i="8"/>
  <c r="J28" i="8"/>
  <c r="I28" i="8"/>
  <c r="H28" i="8"/>
  <c r="G28" i="8"/>
  <c r="F28" i="8"/>
  <c r="E28" i="8"/>
  <c r="D28" i="8"/>
  <c r="C28" i="8"/>
  <c r="O27" i="8"/>
  <c r="N27" i="8"/>
  <c r="M27" i="8"/>
  <c r="L27" i="8"/>
  <c r="K27" i="8"/>
  <c r="J27" i="8"/>
  <c r="I27" i="8"/>
  <c r="H27" i="8"/>
  <c r="G27" i="8"/>
  <c r="F27" i="8"/>
  <c r="E27" i="8"/>
  <c r="D27" i="8"/>
  <c r="C27" i="8"/>
  <c r="O26" i="8"/>
  <c r="N26" i="8"/>
  <c r="M26" i="8"/>
  <c r="L26" i="8"/>
  <c r="K26" i="8"/>
  <c r="J26" i="8"/>
  <c r="I26" i="8"/>
  <c r="H26" i="8"/>
  <c r="G26" i="8"/>
  <c r="F26" i="8"/>
  <c r="E26" i="8"/>
  <c r="D26" i="8"/>
  <c r="C26" i="8"/>
  <c r="O25" i="8"/>
  <c r="N25" i="8"/>
  <c r="M25" i="8"/>
  <c r="L25" i="8"/>
  <c r="K25" i="8"/>
  <c r="J25" i="8"/>
  <c r="I25" i="8"/>
  <c r="H25" i="8"/>
  <c r="G25" i="8"/>
  <c r="F25" i="8"/>
  <c r="E25" i="8"/>
  <c r="D25" i="8"/>
  <c r="C25" i="8"/>
  <c r="O24" i="8"/>
  <c r="N24" i="8"/>
  <c r="M24" i="8"/>
  <c r="L24" i="8"/>
  <c r="K24" i="8"/>
  <c r="J24" i="8"/>
  <c r="I24" i="8"/>
  <c r="H24" i="8"/>
  <c r="G24" i="8"/>
  <c r="F24" i="8"/>
  <c r="E24" i="8"/>
  <c r="D24" i="8"/>
  <c r="C24" i="8"/>
  <c r="O23" i="8"/>
  <c r="N23" i="8"/>
  <c r="M23" i="8"/>
  <c r="L23" i="8"/>
  <c r="K23" i="8"/>
  <c r="J23" i="8"/>
  <c r="I23" i="8"/>
  <c r="H23" i="8"/>
  <c r="G23" i="8"/>
  <c r="F23" i="8"/>
  <c r="E23" i="8"/>
  <c r="D23" i="8"/>
  <c r="C23" i="8"/>
  <c r="O22" i="8"/>
  <c r="N22" i="8"/>
  <c r="M22" i="8"/>
  <c r="L22" i="8"/>
  <c r="K22" i="8"/>
  <c r="J22" i="8"/>
  <c r="I22" i="8"/>
  <c r="H22" i="8"/>
  <c r="G22" i="8"/>
  <c r="F22" i="8"/>
  <c r="E22" i="8"/>
  <c r="D22" i="8"/>
  <c r="C22" i="8"/>
  <c r="O21" i="8"/>
  <c r="N21" i="8"/>
  <c r="M21" i="8"/>
  <c r="L21" i="8"/>
  <c r="K21" i="8"/>
  <c r="J21" i="8"/>
  <c r="I21" i="8"/>
  <c r="H21" i="8"/>
  <c r="G21" i="8"/>
  <c r="F21" i="8"/>
  <c r="E21" i="8"/>
  <c r="D21" i="8"/>
  <c r="C21" i="8"/>
  <c r="O20" i="8"/>
  <c r="N20" i="8"/>
  <c r="M20" i="8"/>
  <c r="L20" i="8"/>
  <c r="K20" i="8"/>
  <c r="J20" i="8"/>
  <c r="I20" i="8"/>
  <c r="H20" i="8"/>
  <c r="G20" i="8"/>
  <c r="F20" i="8"/>
  <c r="E20" i="8"/>
  <c r="D20" i="8"/>
  <c r="C20" i="8"/>
  <c r="O19" i="8"/>
  <c r="N19" i="8"/>
  <c r="M19" i="8"/>
  <c r="L19" i="8"/>
  <c r="K19" i="8"/>
  <c r="J19" i="8"/>
  <c r="I19" i="8"/>
  <c r="H19" i="8"/>
  <c r="G19" i="8"/>
  <c r="F19" i="8"/>
  <c r="E19" i="8"/>
  <c r="D19" i="8"/>
  <c r="C19" i="8"/>
  <c r="O18" i="8"/>
  <c r="N18" i="8"/>
  <c r="M18" i="8"/>
  <c r="L18" i="8"/>
  <c r="K18" i="8"/>
  <c r="J18" i="8"/>
  <c r="I18" i="8"/>
  <c r="H18" i="8"/>
  <c r="G18" i="8"/>
  <c r="F18" i="8"/>
  <c r="E18" i="8"/>
  <c r="D18" i="8"/>
  <c r="C18" i="8"/>
  <c r="O17" i="8"/>
  <c r="N17" i="8"/>
  <c r="M17" i="8"/>
  <c r="L17" i="8"/>
  <c r="K17" i="8"/>
  <c r="J17" i="8"/>
  <c r="I17" i="8"/>
  <c r="H17" i="8"/>
  <c r="G17" i="8"/>
  <c r="F17" i="8"/>
  <c r="E17" i="8"/>
  <c r="D17" i="8"/>
  <c r="C17" i="8"/>
  <c r="O16" i="8"/>
  <c r="N16" i="8"/>
  <c r="M16" i="8"/>
  <c r="L16" i="8"/>
  <c r="K16" i="8"/>
  <c r="J16" i="8"/>
  <c r="I16" i="8"/>
  <c r="H16" i="8"/>
  <c r="G16" i="8"/>
  <c r="F16" i="8"/>
  <c r="E16" i="8"/>
  <c r="D16" i="8"/>
  <c r="C16" i="8"/>
  <c r="O15" i="8"/>
  <c r="N15" i="8"/>
  <c r="M15" i="8"/>
  <c r="L15" i="8"/>
  <c r="K15" i="8"/>
  <c r="J15" i="8"/>
  <c r="I15" i="8"/>
  <c r="H15" i="8"/>
  <c r="G15" i="8"/>
  <c r="F15" i="8"/>
  <c r="E15" i="8"/>
  <c r="D15" i="8"/>
  <c r="C15" i="8"/>
  <c r="O14" i="8"/>
  <c r="N14" i="8"/>
  <c r="M14" i="8"/>
  <c r="L14" i="8"/>
  <c r="K14" i="8"/>
  <c r="J14" i="8"/>
  <c r="I14" i="8"/>
  <c r="H14" i="8"/>
  <c r="G14" i="8"/>
  <c r="F14" i="8"/>
  <c r="E14" i="8"/>
  <c r="D14" i="8"/>
  <c r="C14" i="8"/>
  <c r="O13" i="8"/>
  <c r="N13" i="8"/>
  <c r="M13" i="8"/>
  <c r="L13" i="8"/>
  <c r="K13" i="8"/>
  <c r="J13" i="8"/>
  <c r="I13" i="8"/>
  <c r="H13" i="8"/>
  <c r="G13" i="8"/>
  <c r="F13" i="8"/>
  <c r="E13" i="8"/>
  <c r="D13" i="8"/>
  <c r="C13" i="8"/>
  <c r="O12" i="8"/>
  <c r="N12" i="8"/>
  <c r="M12" i="8"/>
  <c r="L12" i="8"/>
  <c r="K12" i="8"/>
  <c r="J12" i="8"/>
  <c r="I12" i="8"/>
  <c r="H12" i="8"/>
  <c r="G12" i="8"/>
  <c r="F12" i="8"/>
  <c r="E12" i="8"/>
  <c r="D12" i="8"/>
  <c r="C12" i="8"/>
  <c r="O11" i="8"/>
  <c r="N11" i="8"/>
  <c r="M11" i="8"/>
  <c r="L11" i="8"/>
  <c r="K11" i="8"/>
  <c r="J11" i="8"/>
  <c r="I11" i="8"/>
  <c r="H11" i="8"/>
  <c r="G11" i="8"/>
  <c r="F11" i="8"/>
  <c r="E11" i="8"/>
  <c r="D11" i="8"/>
  <c r="C11" i="8"/>
  <c r="G4" i="8"/>
  <c r="G3" i="8"/>
  <c r="F2" i="8"/>
  <c r="O38" i="7"/>
  <c r="N38" i="7"/>
  <c r="M38" i="7"/>
  <c r="L38" i="7"/>
  <c r="K38" i="7"/>
  <c r="J38" i="7"/>
  <c r="I38" i="7"/>
  <c r="H38" i="7"/>
  <c r="G38" i="7"/>
  <c r="F38" i="7"/>
  <c r="E38" i="7"/>
  <c r="D38" i="7"/>
  <c r="C38" i="7"/>
  <c r="O37" i="7"/>
  <c r="N37" i="7"/>
  <c r="M37" i="7"/>
  <c r="L37" i="7"/>
  <c r="K37" i="7"/>
  <c r="J37" i="7"/>
  <c r="I37" i="7"/>
  <c r="H37" i="7"/>
  <c r="G37" i="7"/>
  <c r="F37" i="7"/>
  <c r="E37" i="7"/>
  <c r="D37" i="7"/>
  <c r="C37" i="7"/>
  <c r="O36" i="7"/>
  <c r="N36" i="7"/>
  <c r="M36" i="7"/>
  <c r="L36" i="7"/>
  <c r="K36" i="7"/>
  <c r="J36" i="7"/>
  <c r="I36" i="7"/>
  <c r="H36" i="7"/>
  <c r="G36" i="7"/>
  <c r="F36" i="7"/>
  <c r="E36" i="7"/>
  <c r="D36" i="7"/>
  <c r="C36" i="7"/>
  <c r="O35" i="7"/>
  <c r="N35" i="7"/>
  <c r="M35" i="7"/>
  <c r="L35" i="7"/>
  <c r="K35" i="7"/>
  <c r="J35" i="7"/>
  <c r="I35" i="7"/>
  <c r="H35" i="7"/>
  <c r="G35" i="7"/>
  <c r="F35" i="7"/>
  <c r="E35" i="7"/>
  <c r="D35" i="7"/>
  <c r="C35" i="7"/>
  <c r="O34" i="7"/>
  <c r="N34" i="7"/>
  <c r="M34" i="7"/>
  <c r="L34" i="7"/>
  <c r="K34" i="7"/>
  <c r="J34" i="7"/>
  <c r="I34" i="7"/>
  <c r="H34" i="7"/>
  <c r="G34" i="7"/>
  <c r="F34" i="7"/>
  <c r="E34" i="7"/>
  <c r="D34" i="7"/>
  <c r="C34" i="7"/>
  <c r="O33" i="7"/>
  <c r="N33" i="7"/>
  <c r="M33" i="7"/>
  <c r="L33" i="7"/>
  <c r="K33" i="7"/>
  <c r="J33" i="7"/>
  <c r="I33" i="7"/>
  <c r="H33" i="7"/>
  <c r="G33" i="7"/>
  <c r="F33" i="7"/>
  <c r="E33" i="7"/>
  <c r="D33" i="7"/>
  <c r="C33" i="7"/>
  <c r="O32" i="7"/>
  <c r="N32" i="7"/>
  <c r="M32" i="7"/>
  <c r="L32" i="7"/>
  <c r="K32" i="7"/>
  <c r="J32" i="7"/>
  <c r="I32" i="7"/>
  <c r="H32" i="7"/>
  <c r="G32" i="7"/>
  <c r="F32" i="7"/>
  <c r="E32" i="7"/>
  <c r="D32" i="7"/>
  <c r="C32" i="7"/>
  <c r="O31" i="7"/>
  <c r="N31" i="7"/>
  <c r="M31" i="7"/>
  <c r="L31" i="7"/>
  <c r="K31" i="7"/>
  <c r="J31" i="7"/>
  <c r="I31" i="7"/>
  <c r="H31" i="7"/>
  <c r="G31" i="7"/>
  <c r="F31" i="7"/>
  <c r="E31" i="7"/>
  <c r="D31" i="7"/>
  <c r="C31" i="7"/>
  <c r="O30" i="7"/>
  <c r="N30" i="7"/>
  <c r="M30" i="7"/>
  <c r="L30" i="7"/>
  <c r="K30" i="7"/>
  <c r="J30" i="7"/>
  <c r="I30" i="7"/>
  <c r="H30" i="7"/>
  <c r="G30" i="7"/>
  <c r="F30" i="7"/>
  <c r="E30" i="7"/>
  <c r="D30" i="7"/>
  <c r="C30" i="7"/>
  <c r="O29" i="7"/>
  <c r="N29" i="7"/>
  <c r="M29" i="7"/>
  <c r="L29" i="7"/>
  <c r="K29" i="7"/>
  <c r="J29" i="7"/>
  <c r="I29" i="7"/>
  <c r="H29" i="7"/>
  <c r="G29" i="7"/>
  <c r="F29" i="7"/>
  <c r="E29" i="7"/>
  <c r="D29" i="7"/>
  <c r="C29" i="7"/>
  <c r="O28" i="7"/>
  <c r="N28" i="7"/>
  <c r="M28" i="7"/>
  <c r="L28" i="7"/>
  <c r="K28" i="7"/>
  <c r="J28" i="7"/>
  <c r="I28" i="7"/>
  <c r="H28" i="7"/>
  <c r="G28" i="7"/>
  <c r="F28" i="7"/>
  <c r="E28" i="7"/>
  <c r="D28" i="7"/>
  <c r="C28" i="7"/>
  <c r="O27" i="7"/>
  <c r="N27" i="7"/>
  <c r="M27" i="7"/>
  <c r="L27" i="7"/>
  <c r="K27" i="7"/>
  <c r="J27" i="7"/>
  <c r="I27" i="7"/>
  <c r="H27" i="7"/>
  <c r="G27" i="7"/>
  <c r="F27" i="7"/>
  <c r="E27" i="7"/>
  <c r="D27" i="7"/>
  <c r="C27" i="7"/>
  <c r="O26" i="7"/>
  <c r="N26" i="7"/>
  <c r="M26" i="7"/>
  <c r="L26" i="7"/>
  <c r="K26" i="7"/>
  <c r="J26" i="7"/>
  <c r="I26" i="7"/>
  <c r="H26" i="7"/>
  <c r="G26" i="7"/>
  <c r="F26" i="7"/>
  <c r="E26" i="7"/>
  <c r="D26" i="7"/>
  <c r="C26" i="7"/>
  <c r="O25" i="7"/>
  <c r="N25" i="7"/>
  <c r="M25" i="7"/>
  <c r="L25" i="7"/>
  <c r="K25" i="7"/>
  <c r="J25" i="7"/>
  <c r="I25" i="7"/>
  <c r="H25" i="7"/>
  <c r="G25" i="7"/>
  <c r="F25" i="7"/>
  <c r="E25" i="7"/>
  <c r="D25" i="7"/>
  <c r="C25" i="7"/>
  <c r="O24" i="7"/>
  <c r="N24" i="7"/>
  <c r="M24" i="7"/>
  <c r="L24" i="7"/>
  <c r="K24" i="7"/>
  <c r="J24" i="7"/>
  <c r="I24" i="7"/>
  <c r="H24" i="7"/>
  <c r="G24" i="7"/>
  <c r="F24" i="7"/>
  <c r="E24" i="7"/>
  <c r="D24" i="7"/>
  <c r="C24" i="7"/>
  <c r="O23" i="7"/>
  <c r="N23" i="7"/>
  <c r="M23" i="7"/>
  <c r="L23" i="7"/>
  <c r="K23" i="7"/>
  <c r="J23" i="7"/>
  <c r="I23" i="7"/>
  <c r="H23" i="7"/>
  <c r="G23" i="7"/>
  <c r="F23" i="7"/>
  <c r="E23" i="7"/>
  <c r="D23" i="7"/>
  <c r="C23" i="7"/>
  <c r="O22" i="7"/>
  <c r="N22" i="7"/>
  <c r="M22" i="7"/>
  <c r="L22" i="7"/>
  <c r="K22" i="7"/>
  <c r="J22" i="7"/>
  <c r="I22" i="7"/>
  <c r="H22" i="7"/>
  <c r="G22" i="7"/>
  <c r="F22" i="7"/>
  <c r="E22" i="7"/>
  <c r="D22" i="7"/>
  <c r="C22" i="7"/>
  <c r="O21" i="7"/>
  <c r="N21" i="7"/>
  <c r="M21" i="7"/>
  <c r="L21" i="7"/>
  <c r="K21" i="7"/>
  <c r="J21" i="7"/>
  <c r="I21" i="7"/>
  <c r="H21" i="7"/>
  <c r="G21" i="7"/>
  <c r="F21" i="7"/>
  <c r="E21" i="7"/>
  <c r="D21" i="7"/>
  <c r="C21" i="7"/>
  <c r="O20" i="7"/>
  <c r="N20" i="7"/>
  <c r="M20" i="7"/>
  <c r="L20" i="7"/>
  <c r="K20" i="7"/>
  <c r="J20" i="7"/>
  <c r="I20" i="7"/>
  <c r="H20" i="7"/>
  <c r="G20" i="7"/>
  <c r="F20" i="7"/>
  <c r="E20" i="7"/>
  <c r="D20" i="7"/>
  <c r="C20" i="7"/>
  <c r="O19" i="7"/>
  <c r="N19" i="7"/>
  <c r="M19" i="7"/>
  <c r="L19" i="7"/>
  <c r="K19" i="7"/>
  <c r="J19" i="7"/>
  <c r="I19" i="7"/>
  <c r="H19" i="7"/>
  <c r="G19" i="7"/>
  <c r="F19" i="7"/>
  <c r="E19" i="7"/>
  <c r="D19" i="7"/>
  <c r="C19" i="7"/>
  <c r="O18" i="7"/>
  <c r="N18" i="7"/>
  <c r="M18" i="7"/>
  <c r="L18" i="7"/>
  <c r="K18" i="7"/>
  <c r="J18" i="7"/>
  <c r="I18" i="7"/>
  <c r="H18" i="7"/>
  <c r="G18" i="7"/>
  <c r="F18" i="7"/>
  <c r="E18" i="7"/>
  <c r="D18" i="7"/>
  <c r="C18" i="7"/>
  <c r="O17" i="7"/>
  <c r="N17" i="7"/>
  <c r="M17" i="7"/>
  <c r="L17" i="7"/>
  <c r="K17" i="7"/>
  <c r="J17" i="7"/>
  <c r="I17" i="7"/>
  <c r="H17" i="7"/>
  <c r="G17" i="7"/>
  <c r="F17" i="7"/>
  <c r="E17" i="7"/>
  <c r="D17" i="7"/>
  <c r="C17" i="7"/>
  <c r="O16" i="7"/>
  <c r="N16" i="7"/>
  <c r="M16" i="7"/>
  <c r="L16" i="7"/>
  <c r="K16" i="7"/>
  <c r="J16" i="7"/>
  <c r="I16" i="7"/>
  <c r="H16" i="7"/>
  <c r="G16" i="7"/>
  <c r="F16" i="7"/>
  <c r="E16" i="7"/>
  <c r="D16" i="7"/>
  <c r="C16" i="7"/>
  <c r="O15" i="7"/>
  <c r="N15" i="7"/>
  <c r="M15" i="7"/>
  <c r="L15" i="7"/>
  <c r="K15" i="7"/>
  <c r="J15" i="7"/>
  <c r="I15" i="7"/>
  <c r="H15" i="7"/>
  <c r="G15" i="7"/>
  <c r="F15" i="7"/>
  <c r="E15" i="7"/>
  <c r="D15" i="7"/>
  <c r="C15" i="7"/>
  <c r="O14" i="7"/>
  <c r="N14" i="7"/>
  <c r="M14" i="7"/>
  <c r="L14" i="7"/>
  <c r="K14" i="7"/>
  <c r="J14" i="7"/>
  <c r="I14" i="7"/>
  <c r="H14" i="7"/>
  <c r="G14" i="7"/>
  <c r="F14" i="7"/>
  <c r="E14" i="7"/>
  <c r="D14" i="7"/>
  <c r="C14" i="7"/>
  <c r="O13" i="7"/>
  <c r="N13" i="7"/>
  <c r="M13" i="7"/>
  <c r="L13" i="7"/>
  <c r="K13" i="7"/>
  <c r="J13" i="7"/>
  <c r="I13" i="7"/>
  <c r="H13" i="7"/>
  <c r="G13" i="7"/>
  <c r="F13" i="7"/>
  <c r="E13" i="7"/>
  <c r="D13" i="7"/>
  <c r="C13" i="7"/>
  <c r="O12" i="7"/>
  <c r="N12" i="7"/>
  <c r="M12" i="7"/>
  <c r="L12" i="7"/>
  <c r="K12" i="7"/>
  <c r="J12" i="7"/>
  <c r="I12" i="7"/>
  <c r="H12" i="7"/>
  <c r="G12" i="7"/>
  <c r="F12" i="7"/>
  <c r="E12" i="7"/>
  <c r="D12" i="7"/>
  <c r="C12" i="7"/>
  <c r="O11" i="7"/>
  <c r="N11" i="7"/>
  <c r="M11" i="7"/>
  <c r="L11" i="7"/>
  <c r="K11" i="7"/>
  <c r="J11" i="7"/>
  <c r="I11" i="7"/>
  <c r="H11" i="7"/>
  <c r="G11" i="7"/>
  <c r="F11" i="7"/>
  <c r="E11" i="7"/>
  <c r="D11" i="7"/>
  <c r="C11" i="7"/>
  <c r="G4" i="7"/>
  <c r="G3" i="7"/>
  <c r="F2" i="7"/>
  <c r="O38" i="6"/>
  <c r="N38" i="6"/>
  <c r="M38" i="6"/>
  <c r="L38" i="6"/>
  <c r="K38" i="6"/>
  <c r="J38" i="6"/>
  <c r="I38" i="6"/>
  <c r="H38" i="6"/>
  <c r="G38" i="6"/>
  <c r="F38" i="6"/>
  <c r="E38" i="6"/>
  <c r="D38" i="6"/>
  <c r="C38" i="6"/>
  <c r="O37" i="6"/>
  <c r="N37" i="6"/>
  <c r="M37" i="6"/>
  <c r="L37" i="6"/>
  <c r="K37" i="6"/>
  <c r="J37" i="6"/>
  <c r="I37" i="6"/>
  <c r="H37" i="6"/>
  <c r="G37" i="6"/>
  <c r="F37" i="6"/>
  <c r="E37" i="6"/>
  <c r="D37" i="6"/>
  <c r="C37" i="6"/>
  <c r="O36" i="6"/>
  <c r="N36" i="6"/>
  <c r="M36" i="6"/>
  <c r="L36" i="6"/>
  <c r="K36" i="6"/>
  <c r="J36" i="6"/>
  <c r="I36" i="6"/>
  <c r="H36" i="6"/>
  <c r="G36" i="6"/>
  <c r="F36" i="6"/>
  <c r="E36" i="6"/>
  <c r="D36" i="6"/>
  <c r="C36" i="6"/>
  <c r="O35" i="6"/>
  <c r="N35" i="6"/>
  <c r="M35" i="6"/>
  <c r="L35" i="6"/>
  <c r="K35" i="6"/>
  <c r="J35" i="6"/>
  <c r="I35" i="6"/>
  <c r="H35" i="6"/>
  <c r="G35" i="6"/>
  <c r="F35" i="6"/>
  <c r="E35" i="6"/>
  <c r="D35" i="6"/>
  <c r="C35" i="6"/>
  <c r="O34" i="6"/>
  <c r="N34" i="6"/>
  <c r="M34" i="6"/>
  <c r="L34" i="6"/>
  <c r="K34" i="6"/>
  <c r="J34" i="6"/>
  <c r="I34" i="6"/>
  <c r="H34" i="6"/>
  <c r="G34" i="6"/>
  <c r="F34" i="6"/>
  <c r="E34" i="6"/>
  <c r="D34" i="6"/>
  <c r="C34" i="6"/>
  <c r="O33" i="6"/>
  <c r="N33" i="6"/>
  <c r="M33" i="6"/>
  <c r="L33" i="6"/>
  <c r="K33" i="6"/>
  <c r="J33" i="6"/>
  <c r="I33" i="6"/>
  <c r="H33" i="6"/>
  <c r="G33" i="6"/>
  <c r="F33" i="6"/>
  <c r="E33" i="6"/>
  <c r="D33" i="6"/>
  <c r="C33" i="6"/>
  <c r="O32" i="6"/>
  <c r="N32" i="6"/>
  <c r="M32" i="6"/>
  <c r="L32" i="6"/>
  <c r="K32" i="6"/>
  <c r="J32" i="6"/>
  <c r="I32" i="6"/>
  <c r="H32" i="6"/>
  <c r="G32" i="6"/>
  <c r="F32" i="6"/>
  <c r="E32" i="6"/>
  <c r="D32" i="6"/>
  <c r="C32" i="6"/>
  <c r="O31" i="6"/>
  <c r="N31" i="6"/>
  <c r="M31" i="6"/>
  <c r="L31" i="6"/>
  <c r="K31" i="6"/>
  <c r="J31" i="6"/>
  <c r="I31" i="6"/>
  <c r="H31" i="6"/>
  <c r="G31" i="6"/>
  <c r="F31" i="6"/>
  <c r="E31" i="6"/>
  <c r="D31" i="6"/>
  <c r="C31" i="6"/>
  <c r="O30" i="6"/>
  <c r="N30" i="6"/>
  <c r="M30" i="6"/>
  <c r="L30" i="6"/>
  <c r="K30" i="6"/>
  <c r="J30" i="6"/>
  <c r="I30" i="6"/>
  <c r="H30" i="6"/>
  <c r="G30" i="6"/>
  <c r="F30" i="6"/>
  <c r="E30" i="6"/>
  <c r="D30" i="6"/>
  <c r="C30" i="6"/>
  <c r="O29" i="6"/>
  <c r="N29" i="6"/>
  <c r="M29" i="6"/>
  <c r="L29" i="6"/>
  <c r="K29" i="6"/>
  <c r="J29" i="6"/>
  <c r="I29" i="6"/>
  <c r="H29" i="6"/>
  <c r="G29" i="6"/>
  <c r="F29" i="6"/>
  <c r="E29" i="6"/>
  <c r="D29" i="6"/>
  <c r="C29" i="6"/>
  <c r="O28" i="6"/>
  <c r="N28" i="6"/>
  <c r="M28" i="6"/>
  <c r="L28" i="6"/>
  <c r="K28" i="6"/>
  <c r="J28" i="6"/>
  <c r="I28" i="6"/>
  <c r="H28" i="6"/>
  <c r="G28" i="6"/>
  <c r="F28" i="6"/>
  <c r="E28" i="6"/>
  <c r="D28" i="6"/>
  <c r="C28" i="6"/>
  <c r="O27" i="6"/>
  <c r="N27" i="6"/>
  <c r="M27" i="6"/>
  <c r="L27" i="6"/>
  <c r="K27" i="6"/>
  <c r="J27" i="6"/>
  <c r="I27" i="6"/>
  <c r="H27" i="6"/>
  <c r="G27" i="6"/>
  <c r="F27" i="6"/>
  <c r="E27" i="6"/>
  <c r="D27" i="6"/>
  <c r="C27" i="6"/>
  <c r="O26" i="6"/>
  <c r="N26" i="6"/>
  <c r="M26" i="6"/>
  <c r="L26" i="6"/>
  <c r="K26" i="6"/>
  <c r="J26" i="6"/>
  <c r="I26" i="6"/>
  <c r="H26" i="6"/>
  <c r="G26" i="6"/>
  <c r="F26" i="6"/>
  <c r="E26" i="6"/>
  <c r="D26" i="6"/>
  <c r="C26" i="6"/>
  <c r="O25" i="6"/>
  <c r="N25" i="6"/>
  <c r="M25" i="6"/>
  <c r="L25" i="6"/>
  <c r="K25" i="6"/>
  <c r="J25" i="6"/>
  <c r="I25" i="6"/>
  <c r="H25" i="6"/>
  <c r="G25" i="6"/>
  <c r="F25" i="6"/>
  <c r="E25" i="6"/>
  <c r="D25" i="6"/>
  <c r="C25" i="6"/>
  <c r="O24" i="6"/>
  <c r="N24" i="6"/>
  <c r="M24" i="6"/>
  <c r="L24" i="6"/>
  <c r="K24" i="6"/>
  <c r="J24" i="6"/>
  <c r="I24" i="6"/>
  <c r="H24" i="6"/>
  <c r="G24" i="6"/>
  <c r="F24" i="6"/>
  <c r="E24" i="6"/>
  <c r="D24" i="6"/>
  <c r="C24" i="6"/>
  <c r="O23" i="6"/>
  <c r="N23" i="6"/>
  <c r="M23" i="6"/>
  <c r="L23" i="6"/>
  <c r="K23" i="6"/>
  <c r="J23" i="6"/>
  <c r="I23" i="6"/>
  <c r="H23" i="6"/>
  <c r="G23" i="6"/>
  <c r="F23" i="6"/>
  <c r="E23" i="6"/>
  <c r="D23" i="6"/>
  <c r="C23" i="6"/>
  <c r="O22" i="6"/>
  <c r="N22" i="6"/>
  <c r="M22" i="6"/>
  <c r="L22" i="6"/>
  <c r="K22" i="6"/>
  <c r="J22" i="6"/>
  <c r="I22" i="6"/>
  <c r="H22" i="6"/>
  <c r="G22" i="6"/>
  <c r="F22" i="6"/>
  <c r="E22" i="6"/>
  <c r="D22" i="6"/>
  <c r="C22" i="6"/>
  <c r="O21" i="6"/>
  <c r="N21" i="6"/>
  <c r="M21" i="6"/>
  <c r="L21" i="6"/>
  <c r="K21" i="6"/>
  <c r="J21" i="6"/>
  <c r="I21" i="6"/>
  <c r="H21" i="6"/>
  <c r="G21" i="6"/>
  <c r="F21" i="6"/>
  <c r="E21" i="6"/>
  <c r="D21" i="6"/>
  <c r="C21" i="6"/>
  <c r="O20" i="6"/>
  <c r="N20" i="6"/>
  <c r="M20" i="6"/>
  <c r="L20" i="6"/>
  <c r="K20" i="6"/>
  <c r="J20" i="6"/>
  <c r="I20" i="6"/>
  <c r="H20" i="6"/>
  <c r="G20" i="6"/>
  <c r="F20" i="6"/>
  <c r="E20" i="6"/>
  <c r="D20" i="6"/>
  <c r="C20" i="6"/>
  <c r="O19" i="6"/>
  <c r="N19" i="6"/>
  <c r="M19" i="6"/>
  <c r="L19" i="6"/>
  <c r="K19" i="6"/>
  <c r="J19" i="6"/>
  <c r="I19" i="6"/>
  <c r="H19" i="6"/>
  <c r="G19" i="6"/>
  <c r="F19" i="6"/>
  <c r="E19" i="6"/>
  <c r="D19" i="6"/>
  <c r="C19" i="6"/>
  <c r="O18" i="6"/>
  <c r="N18" i="6"/>
  <c r="M18" i="6"/>
  <c r="L18" i="6"/>
  <c r="K18" i="6"/>
  <c r="J18" i="6"/>
  <c r="I18" i="6"/>
  <c r="H18" i="6"/>
  <c r="G18" i="6"/>
  <c r="F18" i="6"/>
  <c r="E18" i="6"/>
  <c r="D18" i="6"/>
  <c r="C18" i="6"/>
  <c r="O17" i="6"/>
  <c r="N17" i="6"/>
  <c r="M17" i="6"/>
  <c r="L17" i="6"/>
  <c r="K17" i="6"/>
  <c r="J17" i="6"/>
  <c r="I17" i="6"/>
  <c r="H17" i="6"/>
  <c r="G17" i="6"/>
  <c r="F17" i="6"/>
  <c r="E17" i="6"/>
  <c r="D17" i="6"/>
  <c r="C17" i="6"/>
  <c r="O16" i="6"/>
  <c r="N16" i="6"/>
  <c r="M16" i="6"/>
  <c r="L16" i="6"/>
  <c r="K16" i="6"/>
  <c r="J16" i="6"/>
  <c r="I16" i="6"/>
  <c r="H16" i="6"/>
  <c r="G16" i="6"/>
  <c r="F16" i="6"/>
  <c r="E16" i="6"/>
  <c r="D16" i="6"/>
  <c r="C16" i="6"/>
  <c r="O15" i="6"/>
  <c r="N15" i="6"/>
  <c r="M15" i="6"/>
  <c r="L15" i="6"/>
  <c r="K15" i="6"/>
  <c r="J15" i="6"/>
  <c r="I15" i="6"/>
  <c r="H15" i="6"/>
  <c r="G15" i="6"/>
  <c r="F15" i="6"/>
  <c r="E15" i="6"/>
  <c r="D15" i="6"/>
  <c r="C15" i="6"/>
  <c r="O14" i="6"/>
  <c r="N14" i="6"/>
  <c r="M14" i="6"/>
  <c r="L14" i="6"/>
  <c r="K14" i="6"/>
  <c r="J14" i="6"/>
  <c r="I14" i="6"/>
  <c r="H14" i="6"/>
  <c r="G14" i="6"/>
  <c r="F14" i="6"/>
  <c r="E14" i="6"/>
  <c r="D14" i="6"/>
  <c r="C14" i="6"/>
  <c r="O13" i="6"/>
  <c r="N13" i="6"/>
  <c r="M13" i="6"/>
  <c r="L13" i="6"/>
  <c r="K13" i="6"/>
  <c r="J13" i="6"/>
  <c r="I13" i="6"/>
  <c r="H13" i="6"/>
  <c r="G13" i="6"/>
  <c r="F13" i="6"/>
  <c r="E13" i="6"/>
  <c r="D13" i="6"/>
  <c r="C13" i="6"/>
  <c r="O12" i="6"/>
  <c r="N12" i="6"/>
  <c r="M12" i="6"/>
  <c r="L12" i="6"/>
  <c r="K12" i="6"/>
  <c r="J12" i="6"/>
  <c r="I12" i="6"/>
  <c r="H12" i="6"/>
  <c r="G12" i="6"/>
  <c r="F12" i="6"/>
  <c r="E12" i="6"/>
  <c r="D12" i="6"/>
  <c r="C12" i="6"/>
  <c r="O11" i="6"/>
  <c r="N11" i="6"/>
  <c r="M11" i="6"/>
  <c r="L11" i="6"/>
  <c r="K11" i="6"/>
  <c r="J11" i="6"/>
  <c r="I11" i="6"/>
  <c r="H11" i="6"/>
  <c r="G11" i="6"/>
  <c r="F11" i="6"/>
  <c r="E11" i="6"/>
  <c r="D11" i="6"/>
  <c r="C11" i="6"/>
  <c r="G4" i="6"/>
  <c r="G3" i="6"/>
  <c r="F2" i="6"/>
  <c r="O38" i="5"/>
  <c r="N38" i="5"/>
  <c r="M38" i="5"/>
  <c r="L38" i="5"/>
  <c r="K38" i="5"/>
  <c r="J38" i="5"/>
  <c r="I38" i="5"/>
  <c r="H38" i="5"/>
  <c r="G38" i="5"/>
  <c r="F38" i="5"/>
  <c r="E38" i="5"/>
  <c r="D38" i="5"/>
  <c r="C38" i="5"/>
  <c r="O37" i="5"/>
  <c r="N37" i="5"/>
  <c r="M37" i="5"/>
  <c r="L37" i="5"/>
  <c r="K37" i="5"/>
  <c r="J37" i="5"/>
  <c r="I37" i="5"/>
  <c r="H37" i="5"/>
  <c r="G37" i="5"/>
  <c r="F37" i="5"/>
  <c r="E37" i="5"/>
  <c r="D37" i="5"/>
  <c r="C37" i="5"/>
  <c r="O36" i="5"/>
  <c r="N36" i="5"/>
  <c r="M36" i="5"/>
  <c r="L36" i="5"/>
  <c r="K36" i="5"/>
  <c r="J36" i="5"/>
  <c r="I36" i="5"/>
  <c r="H36" i="5"/>
  <c r="G36" i="5"/>
  <c r="F36" i="5"/>
  <c r="E36" i="5"/>
  <c r="D36" i="5"/>
  <c r="C36" i="5"/>
  <c r="O35" i="5"/>
  <c r="N35" i="5"/>
  <c r="M35" i="5"/>
  <c r="L35" i="5"/>
  <c r="K35" i="5"/>
  <c r="J35" i="5"/>
  <c r="I35" i="5"/>
  <c r="H35" i="5"/>
  <c r="G35" i="5"/>
  <c r="F35" i="5"/>
  <c r="E35" i="5"/>
  <c r="D35" i="5"/>
  <c r="C35" i="5"/>
  <c r="O34" i="5"/>
  <c r="N34" i="5"/>
  <c r="M34" i="5"/>
  <c r="L34" i="5"/>
  <c r="K34" i="5"/>
  <c r="J34" i="5"/>
  <c r="I34" i="5"/>
  <c r="H34" i="5"/>
  <c r="G34" i="5"/>
  <c r="F34" i="5"/>
  <c r="E34" i="5"/>
  <c r="D34" i="5"/>
  <c r="C34" i="5"/>
  <c r="O33" i="5"/>
  <c r="N33" i="5"/>
  <c r="M33" i="5"/>
  <c r="L33" i="5"/>
  <c r="K33" i="5"/>
  <c r="J33" i="5"/>
  <c r="I33" i="5"/>
  <c r="H33" i="5"/>
  <c r="G33" i="5"/>
  <c r="F33" i="5"/>
  <c r="E33" i="5"/>
  <c r="D33" i="5"/>
  <c r="C33" i="5"/>
  <c r="O32" i="5"/>
  <c r="N32" i="5"/>
  <c r="M32" i="5"/>
  <c r="L32" i="5"/>
  <c r="K32" i="5"/>
  <c r="J32" i="5"/>
  <c r="I32" i="5"/>
  <c r="H32" i="5"/>
  <c r="G32" i="5"/>
  <c r="F32" i="5"/>
  <c r="E32" i="5"/>
  <c r="D32" i="5"/>
  <c r="C32" i="5"/>
  <c r="O31" i="5"/>
  <c r="N31" i="5"/>
  <c r="M31" i="5"/>
  <c r="L31" i="5"/>
  <c r="K31" i="5"/>
  <c r="J31" i="5"/>
  <c r="I31" i="5"/>
  <c r="H31" i="5"/>
  <c r="G31" i="5"/>
  <c r="F31" i="5"/>
  <c r="E31" i="5"/>
  <c r="D31" i="5"/>
  <c r="C31" i="5"/>
  <c r="O30" i="5"/>
  <c r="N30" i="5"/>
  <c r="M30" i="5"/>
  <c r="L30" i="5"/>
  <c r="K30" i="5"/>
  <c r="J30" i="5"/>
  <c r="I30" i="5"/>
  <c r="H30" i="5"/>
  <c r="G30" i="5"/>
  <c r="F30" i="5"/>
  <c r="E30" i="5"/>
  <c r="D30" i="5"/>
  <c r="C30" i="5"/>
  <c r="O29" i="5"/>
  <c r="N29" i="5"/>
  <c r="M29" i="5"/>
  <c r="L29" i="5"/>
  <c r="K29" i="5"/>
  <c r="J29" i="5"/>
  <c r="I29" i="5"/>
  <c r="H29" i="5"/>
  <c r="G29" i="5"/>
  <c r="F29" i="5"/>
  <c r="E29" i="5"/>
  <c r="D29" i="5"/>
  <c r="C29" i="5"/>
  <c r="O28" i="5"/>
  <c r="N28" i="5"/>
  <c r="M28" i="5"/>
  <c r="L28" i="5"/>
  <c r="K28" i="5"/>
  <c r="J28" i="5"/>
  <c r="I28" i="5"/>
  <c r="H28" i="5"/>
  <c r="G28" i="5"/>
  <c r="F28" i="5"/>
  <c r="E28" i="5"/>
  <c r="D28" i="5"/>
  <c r="C28" i="5"/>
  <c r="O27" i="5"/>
  <c r="N27" i="5"/>
  <c r="M27" i="5"/>
  <c r="L27" i="5"/>
  <c r="K27" i="5"/>
  <c r="J27" i="5"/>
  <c r="I27" i="5"/>
  <c r="H27" i="5"/>
  <c r="G27" i="5"/>
  <c r="F27" i="5"/>
  <c r="E27" i="5"/>
  <c r="D27" i="5"/>
  <c r="C27" i="5"/>
  <c r="O26" i="5"/>
  <c r="N26" i="5"/>
  <c r="M26" i="5"/>
  <c r="L26" i="5"/>
  <c r="K26" i="5"/>
  <c r="J26" i="5"/>
  <c r="I26" i="5"/>
  <c r="H26" i="5"/>
  <c r="G26" i="5"/>
  <c r="F26" i="5"/>
  <c r="E26" i="5"/>
  <c r="D26" i="5"/>
  <c r="C26" i="5"/>
  <c r="O25" i="5"/>
  <c r="N25" i="5"/>
  <c r="M25" i="5"/>
  <c r="L25" i="5"/>
  <c r="K25" i="5"/>
  <c r="J25" i="5"/>
  <c r="I25" i="5"/>
  <c r="H25" i="5"/>
  <c r="G25" i="5"/>
  <c r="F25" i="5"/>
  <c r="E25" i="5"/>
  <c r="D25" i="5"/>
  <c r="C25" i="5"/>
  <c r="O24" i="5"/>
  <c r="N24" i="5"/>
  <c r="M24" i="5"/>
  <c r="L24" i="5"/>
  <c r="K24" i="5"/>
  <c r="J24" i="5"/>
  <c r="I24" i="5"/>
  <c r="H24" i="5"/>
  <c r="G24" i="5"/>
  <c r="F24" i="5"/>
  <c r="E24" i="5"/>
  <c r="D24" i="5"/>
  <c r="C24" i="5"/>
  <c r="O23" i="5"/>
  <c r="N23" i="5"/>
  <c r="M23" i="5"/>
  <c r="L23" i="5"/>
  <c r="K23" i="5"/>
  <c r="J23" i="5"/>
  <c r="I23" i="5"/>
  <c r="H23" i="5"/>
  <c r="G23" i="5"/>
  <c r="F23" i="5"/>
  <c r="E23" i="5"/>
  <c r="D23" i="5"/>
  <c r="C23" i="5"/>
  <c r="O22" i="5"/>
  <c r="N22" i="5"/>
  <c r="M22" i="5"/>
  <c r="L22" i="5"/>
  <c r="K22" i="5"/>
  <c r="J22" i="5"/>
  <c r="I22" i="5"/>
  <c r="H22" i="5"/>
  <c r="G22" i="5"/>
  <c r="F22" i="5"/>
  <c r="E22" i="5"/>
  <c r="D22" i="5"/>
  <c r="C22" i="5"/>
  <c r="O21" i="5"/>
  <c r="N21" i="5"/>
  <c r="M21" i="5"/>
  <c r="L21" i="5"/>
  <c r="K21" i="5"/>
  <c r="J21" i="5"/>
  <c r="I21" i="5"/>
  <c r="H21" i="5"/>
  <c r="G21" i="5"/>
  <c r="F21" i="5"/>
  <c r="E21" i="5"/>
  <c r="D21" i="5"/>
  <c r="C21" i="5"/>
  <c r="O20" i="5"/>
  <c r="N20" i="5"/>
  <c r="M20" i="5"/>
  <c r="L20" i="5"/>
  <c r="K20" i="5"/>
  <c r="J20" i="5"/>
  <c r="I20" i="5"/>
  <c r="H20" i="5"/>
  <c r="G20" i="5"/>
  <c r="F20" i="5"/>
  <c r="E20" i="5"/>
  <c r="D20" i="5"/>
  <c r="C20" i="5"/>
  <c r="O19" i="5"/>
  <c r="N19" i="5"/>
  <c r="M19" i="5"/>
  <c r="L19" i="5"/>
  <c r="K19" i="5"/>
  <c r="J19" i="5"/>
  <c r="I19" i="5"/>
  <c r="H19" i="5"/>
  <c r="G19" i="5"/>
  <c r="F19" i="5"/>
  <c r="E19" i="5"/>
  <c r="D19" i="5"/>
  <c r="C19" i="5"/>
  <c r="O18" i="5"/>
  <c r="N18" i="5"/>
  <c r="M18" i="5"/>
  <c r="L18" i="5"/>
  <c r="K18" i="5"/>
  <c r="J18" i="5"/>
  <c r="I18" i="5"/>
  <c r="H18" i="5"/>
  <c r="G18" i="5"/>
  <c r="F18" i="5"/>
  <c r="E18" i="5"/>
  <c r="D18" i="5"/>
  <c r="C18" i="5"/>
  <c r="O17" i="5"/>
  <c r="N17" i="5"/>
  <c r="M17" i="5"/>
  <c r="L17" i="5"/>
  <c r="K17" i="5"/>
  <c r="J17" i="5"/>
  <c r="I17" i="5"/>
  <c r="H17" i="5"/>
  <c r="G17" i="5"/>
  <c r="F17" i="5"/>
  <c r="E17" i="5"/>
  <c r="D17" i="5"/>
  <c r="C17" i="5"/>
  <c r="O16" i="5"/>
  <c r="N16" i="5"/>
  <c r="M16" i="5"/>
  <c r="L16" i="5"/>
  <c r="K16" i="5"/>
  <c r="J16" i="5"/>
  <c r="I16" i="5"/>
  <c r="H16" i="5"/>
  <c r="G16" i="5"/>
  <c r="F16" i="5"/>
  <c r="E16" i="5"/>
  <c r="D16" i="5"/>
  <c r="C16" i="5"/>
  <c r="O15" i="5"/>
  <c r="N15" i="5"/>
  <c r="M15" i="5"/>
  <c r="L15" i="5"/>
  <c r="K15" i="5"/>
  <c r="J15" i="5"/>
  <c r="I15" i="5"/>
  <c r="H15" i="5"/>
  <c r="G15" i="5"/>
  <c r="F15" i="5"/>
  <c r="E15" i="5"/>
  <c r="D15" i="5"/>
  <c r="C15" i="5"/>
  <c r="O14" i="5"/>
  <c r="N14" i="5"/>
  <c r="M14" i="5"/>
  <c r="L14" i="5"/>
  <c r="K14" i="5"/>
  <c r="J14" i="5"/>
  <c r="I14" i="5"/>
  <c r="H14" i="5"/>
  <c r="G14" i="5"/>
  <c r="F14" i="5"/>
  <c r="E14" i="5"/>
  <c r="D14" i="5"/>
  <c r="C14" i="5"/>
  <c r="O13" i="5"/>
  <c r="N13" i="5"/>
  <c r="M13" i="5"/>
  <c r="L13" i="5"/>
  <c r="K13" i="5"/>
  <c r="J13" i="5"/>
  <c r="I13" i="5"/>
  <c r="H13" i="5"/>
  <c r="G13" i="5"/>
  <c r="F13" i="5"/>
  <c r="E13" i="5"/>
  <c r="D13" i="5"/>
  <c r="C13" i="5"/>
  <c r="O12" i="5"/>
  <c r="N12" i="5"/>
  <c r="M12" i="5"/>
  <c r="L12" i="5"/>
  <c r="K12" i="5"/>
  <c r="J12" i="5"/>
  <c r="I12" i="5"/>
  <c r="H12" i="5"/>
  <c r="G12" i="5"/>
  <c r="F12" i="5"/>
  <c r="E12" i="5"/>
  <c r="D12" i="5"/>
  <c r="C12" i="5"/>
  <c r="O11" i="5"/>
  <c r="N11" i="5"/>
  <c r="M11" i="5"/>
  <c r="L11" i="5"/>
  <c r="K11" i="5"/>
  <c r="J11" i="5"/>
  <c r="I11" i="5"/>
  <c r="H11" i="5"/>
  <c r="G11" i="5"/>
  <c r="F11" i="5"/>
  <c r="E11" i="5"/>
  <c r="D11" i="5"/>
  <c r="C11" i="5"/>
  <c r="G4" i="5"/>
  <c r="G3" i="5"/>
  <c r="F2" i="5"/>
  <c r="O38" i="4"/>
  <c r="N38" i="4"/>
  <c r="M38" i="4"/>
  <c r="L38" i="4"/>
  <c r="K38" i="4"/>
  <c r="J38" i="4"/>
  <c r="I38" i="4"/>
  <c r="H38" i="4"/>
  <c r="G38" i="4"/>
  <c r="F38" i="4"/>
  <c r="E38" i="4"/>
  <c r="D38" i="4"/>
  <c r="C38" i="4"/>
  <c r="O37" i="4"/>
  <c r="N37" i="4"/>
  <c r="M37" i="4"/>
  <c r="L37" i="4"/>
  <c r="K37" i="4"/>
  <c r="J37" i="4"/>
  <c r="I37" i="4"/>
  <c r="H37" i="4"/>
  <c r="G37" i="4"/>
  <c r="F37" i="4"/>
  <c r="E37" i="4"/>
  <c r="D37" i="4"/>
  <c r="C37" i="4"/>
  <c r="O36" i="4"/>
  <c r="N36" i="4"/>
  <c r="M36" i="4"/>
  <c r="L36" i="4"/>
  <c r="K36" i="4"/>
  <c r="J36" i="4"/>
  <c r="I36" i="4"/>
  <c r="H36" i="4"/>
  <c r="G36" i="4"/>
  <c r="F36" i="4"/>
  <c r="E36" i="4"/>
  <c r="D36" i="4"/>
  <c r="C36" i="4"/>
  <c r="O35" i="4"/>
  <c r="N35" i="4"/>
  <c r="M35" i="4"/>
  <c r="L35" i="4"/>
  <c r="K35" i="4"/>
  <c r="J35" i="4"/>
  <c r="I35" i="4"/>
  <c r="H35" i="4"/>
  <c r="G35" i="4"/>
  <c r="F35" i="4"/>
  <c r="E35" i="4"/>
  <c r="D35" i="4"/>
  <c r="C35" i="4"/>
  <c r="O34" i="4"/>
  <c r="N34" i="4"/>
  <c r="M34" i="4"/>
  <c r="L34" i="4"/>
  <c r="K34" i="4"/>
  <c r="J34" i="4"/>
  <c r="I34" i="4"/>
  <c r="H34" i="4"/>
  <c r="G34" i="4"/>
  <c r="F34" i="4"/>
  <c r="E34" i="4"/>
  <c r="D34" i="4"/>
  <c r="C34" i="4"/>
  <c r="O33" i="4"/>
  <c r="N33" i="4"/>
  <c r="M33" i="4"/>
  <c r="L33" i="4"/>
  <c r="K33" i="4"/>
  <c r="J33" i="4"/>
  <c r="I33" i="4"/>
  <c r="H33" i="4"/>
  <c r="G33" i="4"/>
  <c r="F33" i="4"/>
  <c r="E33" i="4"/>
  <c r="D33" i="4"/>
  <c r="C33" i="4"/>
  <c r="O32" i="4"/>
  <c r="N32" i="4"/>
  <c r="M32" i="4"/>
  <c r="L32" i="4"/>
  <c r="K32" i="4"/>
  <c r="J32" i="4"/>
  <c r="I32" i="4"/>
  <c r="H32" i="4"/>
  <c r="G32" i="4"/>
  <c r="F32" i="4"/>
  <c r="E32" i="4"/>
  <c r="D32" i="4"/>
  <c r="C32" i="4"/>
  <c r="O31" i="4"/>
  <c r="N31" i="4"/>
  <c r="M31" i="4"/>
  <c r="L31" i="4"/>
  <c r="K31" i="4"/>
  <c r="J31" i="4"/>
  <c r="I31" i="4"/>
  <c r="H31" i="4"/>
  <c r="G31" i="4"/>
  <c r="F31" i="4"/>
  <c r="E31" i="4"/>
  <c r="D31" i="4"/>
  <c r="C31" i="4"/>
  <c r="O30" i="4"/>
  <c r="N30" i="4"/>
  <c r="M30" i="4"/>
  <c r="L30" i="4"/>
  <c r="K30" i="4"/>
  <c r="J30" i="4"/>
  <c r="I30" i="4"/>
  <c r="H30" i="4"/>
  <c r="G30" i="4"/>
  <c r="F30" i="4"/>
  <c r="E30" i="4"/>
  <c r="D30" i="4"/>
  <c r="C30" i="4"/>
  <c r="O29" i="4"/>
  <c r="N29" i="4"/>
  <c r="M29" i="4"/>
  <c r="L29" i="4"/>
  <c r="K29" i="4"/>
  <c r="J29" i="4"/>
  <c r="I29" i="4"/>
  <c r="H29" i="4"/>
  <c r="G29" i="4"/>
  <c r="F29" i="4"/>
  <c r="E29" i="4"/>
  <c r="D29" i="4"/>
  <c r="C29" i="4"/>
  <c r="O28" i="4"/>
  <c r="N28" i="4"/>
  <c r="M28" i="4"/>
  <c r="L28" i="4"/>
  <c r="K28" i="4"/>
  <c r="J28" i="4"/>
  <c r="I28" i="4"/>
  <c r="H28" i="4"/>
  <c r="G28" i="4"/>
  <c r="F28" i="4"/>
  <c r="E28" i="4"/>
  <c r="D28" i="4"/>
  <c r="C28" i="4"/>
  <c r="O27" i="4"/>
  <c r="N27" i="4"/>
  <c r="M27" i="4"/>
  <c r="L27" i="4"/>
  <c r="K27" i="4"/>
  <c r="J27" i="4"/>
  <c r="I27" i="4"/>
  <c r="H27" i="4"/>
  <c r="G27" i="4"/>
  <c r="F27" i="4"/>
  <c r="E27" i="4"/>
  <c r="D27" i="4"/>
  <c r="C27" i="4"/>
  <c r="O26" i="4"/>
  <c r="N26" i="4"/>
  <c r="M26" i="4"/>
  <c r="L26" i="4"/>
  <c r="K26" i="4"/>
  <c r="J26" i="4"/>
  <c r="I26" i="4"/>
  <c r="H26" i="4"/>
  <c r="G26" i="4"/>
  <c r="F26" i="4"/>
  <c r="E26" i="4"/>
  <c r="D26" i="4"/>
  <c r="C26" i="4"/>
  <c r="O25" i="4"/>
  <c r="N25" i="4"/>
  <c r="M25" i="4"/>
  <c r="L25" i="4"/>
  <c r="K25" i="4"/>
  <c r="J25" i="4"/>
  <c r="I25" i="4"/>
  <c r="H25" i="4"/>
  <c r="G25" i="4"/>
  <c r="F25" i="4"/>
  <c r="E25" i="4"/>
  <c r="D25" i="4"/>
  <c r="C25" i="4"/>
  <c r="O24" i="4"/>
  <c r="N24" i="4"/>
  <c r="M24" i="4"/>
  <c r="L24" i="4"/>
  <c r="K24" i="4"/>
  <c r="J24" i="4"/>
  <c r="I24" i="4"/>
  <c r="H24" i="4"/>
  <c r="G24" i="4"/>
  <c r="F24" i="4"/>
  <c r="E24" i="4"/>
  <c r="D24" i="4"/>
  <c r="C24" i="4"/>
  <c r="O23" i="4"/>
  <c r="N23" i="4"/>
  <c r="M23" i="4"/>
  <c r="L23" i="4"/>
  <c r="K23" i="4"/>
  <c r="J23" i="4"/>
  <c r="I23" i="4"/>
  <c r="H23" i="4"/>
  <c r="G23" i="4"/>
  <c r="F23" i="4"/>
  <c r="E23" i="4"/>
  <c r="D23" i="4"/>
  <c r="C23" i="4"/>
  <c r="O22" i="4"/>
  <c r="N22" i="4"/>
  <c r="M22" i="4"/>
  <c r="L22" i="4"/>
  <c r="K22" i="4"/>
  <c r="J22" i="4"/>
  <c r="I22" i="4"/>
  <c r="H22" i="4"/>
  <c r="G22" i="4"/>
  <c r="F22" i="4"/>
  <c r="E22" i="4"/>
  <c r="D22" i="4"/>
  <c r="C22" i="4"/>
  <c r="O21" i="4"/>
  <c r="N21" i="4"/>
  <c r="M21" i="4"/>
  <c r="L21" i="4"/>
  <c r="K21" i="4"/>
  <c r="J21" i="4"/>
  <c r="I21" i="4"/>
  <c r="H21" i="4"/>
  <c r="G21" i="4"/>
  <c r="F21" i="4"/>
  <c r="E21" i="4"/>
  <c r="D21" i="4"/>
  <c r="C21" i="4"/>
  <c r="O20" i="4"/>
  <c r="N20" i="4"/>
  <c r="M20" i="4"/>
  <c r="L20" i="4"/>
  <c r="K20" i="4"/>
  <c r="J20" i="4"/>
  <c r="I20" i="4"/>
  <c r="H20" i="4"/>
  <c r="G20" i="4"/>
  <c r="F20" i="4"/>
  <c r="E20" i="4"/>
  <c r="D20" i="4"/>
  <c r="C20" i="4"/>
  <c r="O19" i="4"/>
  <c r="N19" i="4"/>
  <c r="M19" i="4"/>
  <c r="L19" i="4"/>
  <c r="K19" i="4"/>
  <c r="J19" i="4"/>
  <c r="I19" i="4"/>
  <c r="H19" i="4"/>
  <c r="G19" i="4"/>
  <c r="F19" i="4"/>
  <c r="E19" i="4"/>
  <c r="D19" i="4"/>
  <c r="C19" i="4"/>
  <c r="O18" i="4"/>
  <c r="N18" i="4"/>
  <c r="M18" i="4"/>
  <c r="L18" i="4"/>
  <c r="K18" i="4"/>
  <c r="J18" i="4"/>
  <c r="I18" i="4"/>
  <c r="H18" i="4"/>
  <c r="G18" i="4"/>
  <c r="F18" i="4"/>
  <c r="E18" i="4"/>
  <c r="D18" i="4"/>
  <c r="C18" i="4"/>
  <c r="O17" i="4"/>
  <c r="N17" i="4"/>
  <c r="M17" i="4"/>
  <c r="L17" i="4"/>
  <c r="K17" i="4"/>
  <c r="J17" i="4"/>
  <c r="I17" i="4"/>
  <c r="H17" i="4"/>
  <c r="G17" i="4"/>
  <c r="F17" i="4"/>
  <c r="E17" i="4"/>
  <c r="D17" i="4"/>
  <c r="C17" i="4"/>
  <c r="O16" i="4"/>
  <c r="N16" i="4"/>
  <c r="M16" i="4"/>
  <c r="L16" i="4"/>
  <c r="K16" i="4"/>
  <c r="J16" i="4"/>
  <c r="I16" i="4"/>
  <c r="H16" i="4"/>
  <c r="G16" i="4"/>
  <c r="F16" i="4"/>
  <c r="E16" i="4"/>
  <c r="D16" i="4"/>
  <c r="C16" i="4"/>
  <c r="O15" i="4"/>
  <c r="N15" i="4"/>
  <c r="M15" i="4"/>
  <c r="L15" i="4"/>
  <c r="K15" i="4"/>
  <c r="J15" i="4"/>
  <c r="I15" i="4"/>
  <c r="H15" i="4"/>
  <c r="G15" i="4"/>
  <c r="F15" i="4"/>
  <c r="E15" i="4"/>
  <c r="D15" i="4"/>
  <c r="C15" i="4"/>
  <c r="O14" i="4"/>
  <c r="N14" i="4"/>
  <c r="M14" i="4"/>
  <c r="L14" i="4"/>
  <c r="K14" i="4"/>
  <c r="J14" i="4"/>
  <c r="I14" i="4"/>
  <c r="H14" i="4"/>
  <c r="G14" i="4"/>
  <c r="F14" i="4"/>
  <c r="E14" i="4"/>
  <c r="D14" i="4"/>
  <c r="C14" i="4"/>
  <c r="O13" i="4"/>
  <c r="N13" i="4"/>
  <c r="M13" i="4"/>
  <c r="L13" i="4"/>
  <c r="K13" i="4"/>
  <c r="J13" i="4"/>
  <c r="I13" i="4"/>
  <c r="H13" i="4"/>
  <c r="G13" i="4"/>
  <c r="F13" i="4"/>
  <c r="E13" i="4"/>
  <c r="D13" i="4"/>
  <c r="C13" i="4"/>
  <c r="O12" i="4"/>
  <c r="N12" i="4"/>
  <c r="M12" i="4"/>
  <c r="L12" i="4"/>
  <c r="K12" i="4"/>
  <c r="J12" i="4"/>
  <c r="I12" i="4"/>
  <c r="H12" i="4"/>
  <c r="G12" i="4"/>
  <c r="F12" i="4"/>
  <c r="E12" i="4"/>
  <c r="D12" i="4"/>
  <c r="C12" i="4"/>
  <c r="O11" i="4"/>
  <c r="N11" i="4"/>
  <c r="M11" i="4"/>
  <c r="L11" i="4"/>
  <c r="K11" i="4"/>
  <c r="J11" i="4"/>
  <c r="I11" i="4"/>
  <c r="H11" i="4"/>
  <c r="G11" i="4"/>
  <c r="F11" i="4"/>
  <c r="E11" i="4"/>
  <c r="D11" i="4"/>
  <c r="C11" i="4"/>
  <c r="G4" i="4"/>
  <c r="G3" i="4"/>
  <c r="F2" i="4"/>
  <c r="O38" i="3"/>
  <c r="N38" i="3"/>
  <c r="M38" i="3"/>
  <c r="L38" i="3"/>
  <c r="K38" i="3"/>
  <c r="J38" i="3"/>
  <c r="I38" i="3"/>
  <c r="H38" i="3"/>
  <c r="G38" i="3"/>
  <c r="F38" i="3"/>
  <c r="E38" i="3"/>
  <c r="D38" i="3"/>
  <c r="C38" i="3"/>
  <c r="O37" i="3"/>
  <c r="N37" i="3"/>
  <c r="M37" i="3"/>
  <c r="L37" i="3"/>
  <c r="K37" i="3"/>
  <c r="J37" i="3"/>
  <c r="I37" i="3"/>
  <c r="H37" i="3"/>
  <c r="G37" i="3"/>
  <c r="F37" i="3"/>
  <c r="E37" i="3"/>
  <c r="D37" i="3"/>
  <c r="C37" i="3"/>
  <c r="O36" i="3"/>
  <c r="N36" i="3"/>
  <c r="M36" i="3"/>
  <c r="L36" i="3"/>
  <c r="K36" i="3"/>
  <c r="J36" i="3"/>
  <c r="I36" i="3"/>
  <c r="H36" i="3"/>
  <c r="G36" i="3"/>
  <c r="F36" i="3"/>
  <c r="E36" i="3"/>
  <c r="D36" i="3"/>
  <c r="C36" i="3"/>
  <c r="O35" i="3"/>
  <c r="N35" i="3"/>
  <c r="M35" i="3"/>
  <c r="L35" i="3"/>
  <c r="K35" i="3"/>
  <c r="J35" i="3"/>
  <c r="I35" i="3"/>
  <c r="H35" i="3"/>
  <c r="G35" i="3"/>
  <c r="F35" i="3"/>
  <c r="E35" i="3"/>
  <c r="D35" i="3"/>
  <c r="C35" i="3"/>
  <c r="O34" i="3"/>
  <c r="N34" i="3"/>
  <c r="M34" i="3"/>
  <c r="L34" i="3"/>
  <c r="K34" i="3"/>
  <c r="J34" i="3"/>
  <c r="I34" i="3"/>
  <c r="H34" i="3"/>
  <c r="G34" i="3"/>
  <c r="F34" i="3"/>
  <c r="E34" i="3"/>
  <c r="D34" i="3"/>
  <c r="C34" i="3"/>
  <c r="O33" i="3"/>
  <c r="N33" i="3"/>
  <c r="M33" i="3"/>
  <c r="L33" i="3"/>
  <c r="K33" i="3"/>
  <c r="J33" i="3"/>
  <c r="I33" i="3"/>
  <c r="H33" i="3"/>
  <c r="G33" i="3"/>
  <c r="F33" i="3"/>
  <c r="E33" i="3"/>
  <c r="D33" i="3"/>
  <c r="C33" i="3"/>
  <c r="O32" i="3"/>
  <c r="N32" i="3"/>
  <c r="M32" i="3"/>
  <c r="L32" i="3"/>
  <c r="K32" i="3"/>
  <c r="J32" i="3"/>
  <c r="I32" i="3"/>
  <c r="H32" i="3"/>
  <c r="G32" i="3"/>
  <c r="F32" i="3"/>
  <c r="E32" i="3"/>
  <c r="D32" i="3"/>
  <c r="C32" i="3"/>
  <c r="O31" i="3"/>
  <c r="N31" i="3"/>
  <c r="M31" i="3"/>
  <c r="L31" i="3"/>
  <c r="K31" i="3"/>
  <c r="J31" i="3"/>
  <c r="I31" i="3"/>
  <c r="H31" i="3"/>
  <c r="G31" i="3"/>
  <c r="F31" i="3"/>
  <c r="E31" i="3"/>
  <c r="D31" i="3"/>
  <c r="C31" i="3"/>
  <c r="O30" i="3"/>
  <c r="N30" i="3"/>
  <c r="M30" i="3"/>
  <c r="L30" i="3"/>
  <c r="K30" i="3"/>
  <c r="J30" i="3"/>
  <c r="I30" i="3"/>
  <c r="H30" i="3"/>
  <c r="G30" i="3"/>
  <c r="F30" i="3"/>
  <c r="E30" i="3"/>
  <c r="D30" i="3"/>
  <c r="C30" i="3"/>
  <c r="O29" i="3"/>
  <c r="N29" i="3"/>
  <c r="M29" i="3"/>
  <c r="L29" i="3"/>
  <c r="K29" i="3"/>
  <c r="J29" i="3"/>
  <c r="I29" i="3"/>
  <c r="H29" i="3"/>
  <c r="G29" i="3"/>
  <c r="F29" i="3"/>
  <c r="E29" i="3"/>
  <c r="D29" i="3"/>
  <c r="C29" i="3"/>
  <c r="O28" i="3"/>
  <c r="N28" i="3"/>
  <c r="M28" i="3"/>
  <c r="L28" i="3"/>
  <c r="K28" i="3"/>
  <c r="J28" i="3"/>
  <c r="I28" i="3"/>
  <c r="H28" i="3"/>
  <c r="G28" i="3"/>
  <c r="F28" i="3"/>
  <c r="E28" i="3"/>
  <c r="D28" i="3"/>
  <c r="C28" i="3"/>
  <c r="O27" i="3"/>
  <c r="N27" i="3"/>
  <c r="M27" i="3"/>
  <c r="L27" i="3"/>
  <c r="K27" i="3"/>
  <c r="J27" i="3"/>
  <c r="I27" i="3"/>
  <c r="H27" i="3"/>
  <c r="G27" i="3"/>
  <c r="F27" i="3"/>
  <c r="E27" i="3"/>
  <c r="D27" i="3"/>
  <c r="C27" i="3"/>
  <c r="O26" i="3"/>
  <c r="N26" i="3"/>
  <c r="M26" i="3"/>
  <c r="L26" i="3"/>
  <c r="K26" i="3"/>
  <c r="J26" i="3"/>
  <c r="I26" i="3"/>
  <c r="H26" i="3"/>
  <c r="G26" i="3"/>
  <c r="F26" i="3"/>
  <c r="E26" i="3"/>
  <c r="D26" i="3"/>
  <c r="C26" i="3"/>
  <c r="O25" i="3"/>
  <c r="N25" i="3"/>
  <c r="M25" i="3"/>
  <c r="L25" i="3"/>
  <c r="K25" i="3"/>
  <c r="J25" i="3"/>
  <c r="I25" i="3"/>
  <c r="H25" i="3"/>
  <c r="G25" i="3"/>
  <c r="F25" i="3"/>
  <c r="E25" i="3"/>
  <c r="D25" i="3"/>
  <c r="C25" i="3"/>
  <c r="O24" i="3"/>
  <c r="N24" i="3"/>
  <c r="M24" i="3"/>
  <c r="L24" i="3"/>
  <c r="K24" i="3"/>
  <c r="J24" i="3"/>
  <c r="I24" i="3"/>
  <c r="H24" i="3"/>
  <c r="G24" i="3"/>
  <c r="F24" i="3"/>
  <c r="E24" i="3"/>
  <c r="D24" i="3"/>
  <c r="C24" i="3"/>
  <c r="O23" i="3"/>
  <c r="N23" i="3"/>
  <c r="M23" i="3"/>
  <c r="L23" i="3"/>
  <c r="K23" i="3"/>
  <c r="J23" i="3"/>
  <c r="I23" i="3"/>
  <c r="H23" i="3"/>
  <c r="G23" i="3"/>
  <c r="F23" i="3"/>
  <c r="E23" i="3"/>
  <c r="D23" i="3"/>
  <c r="C23" i="3"/>
  <c r="O22" i="3"/>
  <c r="N22" i="3"/>
  <c r="M22" i="3"/>
  <c r="L22" i="3"/>
  <c r="K22" i="3"/>
  <c r="J22" i="3"/>
  <c r="I22" i="3"/>
  <c r="H22" i="3"/>
  <c r="G22" i="3"/>
  <c r="F22" i="3"/>
  <c r="E22" i="3"/>
  <c r="D22" i="3"/>
  <c r="C22" i="3"/>
  <c r="O21" i="3"/>
  <c r="N21" i="3"/>
  <c r="M21" i="3"/>
  <c r="L21" i="3"/>
  <c r="K21" i="3"/>
  <c r="J21" i="3"/>
  <c r="I21" i="3"/>
  <c r="H21" i="3"/>
  <c r="G21" i="3"/>
  <c r="F21" i="3"/>
  <c r="E21" i="3"/>
  <c r="D21" i="3"/>
  <c r="C21" i="3"/>
  <c r="O20" i="3"/>
  <c r="N20" i="3"/>
  <c r="M20" i="3"/>
  <c r="L20" i="3"/>
  <c r="K20" i="3"/>
  <c r="J20" i="3"/>
  <c r="I20" i="3"/>
  <c r="H20" i="3"/>
  <c r="G20" i="3"/>
  <c r="F20" i="3"/>
  <c r="E20" i="3"/>
  <c r="D20" i="3"/>
  <c r="C20" i="3"/>
  <c r="O19" i="3"/>
  <c r="N19" i="3"/>
  <c r="M19" i="3"/>
  <c r="L19" i="3"/>
  <c r="K19" i="3"/>
  <c r="J19" i="3"/>
  <c r="I19" i="3"/>
  <c r="H19" i="3"/>
  <c r="G19" i="3"/>
  <c r="F19" i="3"/>
  <c r="E19" i="3"/>
  <c r="D19" i="3"/>
  <c r="C19" i="3"/>
  <c r="O18" i="3"/>
  <c r="N18" i="3"/>
  <c r="M18" i="3"/>
  <c r="L18" i="3"/>
  <c r="K18" i="3"/>
  <c r="J18" i="3"/>
  <c r="I18" i="3"/>
  <c r="H18" i="3"/>
  <c r="G18" i="3"/>
  <c r="F18" i="3"/>
  <c r="E18" i="3"/>
  <c r="D18" i="3"/>
  <c r="C18" i="3"/>
  <c r="O17" i="3"/>
  <c r="N17" i="3"/>
  <c r="M17" i="3"/>
  <c r="L17" i="3"/>
  <c r="K17" i="3"/>
  <c r="J17" i="3"/>
  <c r="I17" i="3"/>
  <c r="H17" i="3"/>
  <c r="G17" i="3"/>
  <c r="F17" i="3"/>
  <c r="E17" i="3"/>
  <c r="D17" i="3"/>
  <c r="C17" i="3"/>
  <c r="O16" i="3"/>
  <c r="N16" i="3"/>
  <c r="M16" i="3"/>
  <c r="L16" i="3"/>
  <c r="K16" i="3"/>
  <c r="J16" i="3"/>
  <c r="I16" i="3"/>
  <c r="H16" i="3"/>
  <c r="G16" i="3"/>
  <c r="F16" i="3"/>
  <c r="E16" i="3"/>
  <c r="D16" i="3"/>
  <c r="C16" i="3"/>
  <c r="O15" i="3"/>
  <c r="N15" i="3"/>
  <c r="M15" i="3"/>
  <c r="L15" i="3"/>
  <c r="K15" i="3"/>
  <c r="J15" i="3"/>
  <c r="I15" i="3"/>
  <c r="H15" i="3"/>
  <c r="G15" i="3"/>
  <c r="F15" i="3"/>
  <c r="E15" i="3"/>
  <c r="D15" i="3"/>
  <c r="C15" i="3"/>
  <c r="O14" i="3"/>
  <c r="N14" i="3"/>
  <c r="M14" i="3"/>
  <c r="L14" i="3"/>
  <c r="K14" i="3"/>
  <c r="J14" i="3"/>
  <c r="I14" i="3"/>
  <c r="H14" i="3"/>
  <c r="G14" i="3"/>
  <c r="F14" i="3"/>
  <c r="E14" i="3"/>
  <c r="D14" i="3"/>
  <c r="C14" i="3"/>
  <c r="O13" i="3"/>
  <c r="N13" i="3"/>
  <c r="M13" i="3"/>
  <c r="L13" i="3"/>
  <c r="K13" i="3"/>
  <c r="J13" i="3"/>
  <c r="I13" i="3"/>
  <c r="H13" i="3"/>
  <c r="G13" i="3"/>
  <c r="F13" i="3"/>
  <c r="E13" i="3"/>
  <c r="D13" i="3"/>
  <c r="C13" i="3"/>
  <c r="O12" i="3"/>
  <c r="N12" i="3"/>
  <c r="M12" i="3"/>
  <c r="L12" i="3"/>
  <c r="K12" i="3"/>
  <c r="J12" i="3"/>
  <c r="I12" i="3"/>
  <c r="H12" i="3"/>
  <c r="G12" i="3"/>
  <c r="F12" i="3"/>
  <c r="E12" i="3"/>
  <c r="D12" i="3"/>
  <c r="C12" i="3"/>
  <c r="O11" i="3"/>
  <c r="N11" i="3"/>
  <c r="M11" i="3"/>
  <c r="L11" i="3"/>
  <c r="K11" i="3"/>
  <c r="J11" i="3"/>
  <c r="I11" i="3"/>
  <c r="H11" i="3"/>
  <c r="G11" i="3"/>
  <c r="F11" i="3"/>
  <c r="E11" i="3"/>
  <c r="D11" i="3"/>
  <c r="C11" i="3"/>
  <c r="G4" i="3"/>
  <c r="G3" i="3"/>
  <c r="F2" i="3"/>
  <c r="G39" i="8" l="1"/>
  <c r="P17" i="7"/>
  <c r="P27" i="7"/>
  <c r="P28" i="7"/>
  <c r="P36" i="8"/>
  <c r="G2" i="6"/>
  <c r="F39" i="8"/>
  <c r="P23" i="8"/>
  <c r="P14" i="3"/>
  <c r="G39" i="7"/>
  <c r="P38" i="6"/>
  <c r="P38" i="5"/>
  <c r="N39" i="8"/>
  <c r="P11" i="3"/>
  <c r="P27" i="3"/>
  <c r="K39" i="4"/>
  <c r="P16" i="4"/>
  <c r="P32" i="4"/>
  <c r="L39" i="5"/>
  <c r="P15" i="7"/>
  <c r="P31" i="6"/>
  <c r="P25" i="8"/>
  <c r="P31" i="5"/>
  <c r="P20" i="6"/>
  <c r="P15" i="4"/>
  <c r="P31" i="3"/>
  <c r="P20" i="4"/>
  <c r="P36" i="4"/>
  <c r="G2" i="4"/>
  <c r="P29" i="7"/>
  <c r="P18" i="5"/>
  <c r="P25" i="5"/>
  <c r="H39" i="8"/>
  <c r="P13" i="3"/>
  <c r="P18" i="4"/>
  <c r="P34" i="4"/>
  <c r="H39" i="6"/>
  <c r="P17" i="6"/>
  <c r="M39" i="8"/>
  <c r="P26" i="8"/>
  <c r="L39" i="6"/>
  <c r="P26" i="7"/>
  <c r="P24" i="3"/>
  <c r="P29" i="3"/>
  <c r="E39" i="4"/>
  <c r="F39" i="5"/>
  <c r="P29" i="5"/>
  <c r="G2" i="7"/>
  <c r="P14" i="7"/>
  <c r="P25" i="7"/>
  <c r="P36" i="7"/>
  <c r="N39" i="3"/>
  <c r="P18" i="3"/>
  <c r="F39" i="4"/>
  <c r="P23" i="4"/>
  <c r="G39" i="5"/>
  <c r="P23" i="5"/>
  <c r="C39" i="6"/>
  <c r="P19" i="6"/>
  <c r="P24" i="6"/>
  <c r="P14" i="8"/>
  <c r="P30" i="8"/>
  <c r="D39" i="3"/>
  <c r="F39" i="3"/>
  <c r="P23" i="3"/>
  <c r="G39" i="4"/>
  <c r="P12" i="4"/>
  <c r="P28" i="4"/>
  <c r="H39" i="5"/>
  <c r="P17" i="5"/>
  <c r="D39" i="6"/>
  <c r="P29" i="6"/>
  <c r="C39" i="7"/>
  <c r="P19" i="7"/>
  <c r="G2" i="8"/>
  <c r="P19" i="8"/>
  <c r="P35" i="8"/>
  <c r="G39" i="3"/>
  <c r="H39" i="4"/>
  <c r="P17" i="4"/>
  <c r="P33" i="4"/>
  <c r="I39" i="5"/>
  <c r="P28" i="5"/>
  <c r="E39" i="6"/>
  <c r="P13" i="6"/>
  <c r="P18" i="6"/>
  <c r="P35" i="6"/>
  <c r="D39" i="7"/>
  <c r="P13" i="7"/>
  <c r="C39" i="8"/>
  <c r="P24" i="8"/>
  <c r="E39" i="3"/>
  <c r="H39" i="3"/>
  <c r="P28" i="3"/>
  <c r="P33" i="3"/>
  <c r="I39" i="4"/>
  <c r="P22" i="4"/>
  <c r="P38" i="4"/>
  <c r="P11" i="5"/>
  <c r="F39" i="6"/>
  <c r="P23" i="6"/>
  <c r="E39" i="7"/>
  <c r="P30" i="7"/>
  <c r="P35" i="7"/>
  <c r="D39" i="8"/>
  <c r="P13" i="8"/>
  <c r="P29" i="8"/>
  <c r="I39" i="3"/>
  <c r="P17" i="3"/>
  <c r="P38" i="3"/>
  <c r="J39" i="4"/>
  <c r="P27" i="4"/>
  <c r="K39" i="5"/>
  <c r="P16" i="5"/>
  <c r="G39" i="6"/>
  <c r="P28" i="6"/>
  <c r="F39" i="7"/>
  <c r="P18" i="7"/>
  <c r="P24" i="7"/>
  <c r="E39" i="8"/>
  <c r="P18" i="8"/>
  <c r="K39" i="3"/>
  <c r="P16" i="3"/>
  <c r="P32" i="3"/>
  <c r="L39" i="4"/>
  <c r="P21" i="4"/>
  <c r="P37" i="4"/>
  <c r="M39" i="5"/>
  <c r="P33" i="5"/>
  <c r="I39" i="6"/>
  <c r="P33" i="6"/>
  <c r="H39" i="7"/>
  <c r="P23" i="7"/>
  <c r="L39" i="3"/>
  <c r="M39" i="4"/>
  <c r="P26" i="4"/>
  <c r="N39" i="5"/>
  <c r="P15" i="5"/>
  <c r="P27" i="5"/>
  <c r="J39" i="6"/>
  <c r="P27" i="6"/>
  <c r="I39" i="7"/>
  <c r="P17" i="8"/>
  <c r="P28" i="8"/>
  <c r="P33" i="8"/>
  <c r="P26" i="3"/>
  <c r="N39" i="4"/>
  <c r="P31" i="4"/>
  <c r="O39" i="5"/>
  <c r="K39" i="6"/>
  <c r="P16" i="6"/>
  <c r="P11" i="7"/>
  <c r="P33" i="7"/>
  <c r="I39" i="8"/>
  <c r="M39" i="3"/>
  <c r="O39" i="4"/>
  <c r="K39" i="7"/>
  <c r="P38" i="7"/>
  <c r="P11" i="8"/>
  <c r="P27" i="8"/>
  <c r="P38" i="8"/>
  <c r="O39" i="3"/>
  <c r="P15" i="3"/>
  <c r="P20" i="3"/>
  <c r="P36" i="3"/>
  <c r="P25" i="4"/>
  <c r="G2" i="5"/>
  <c r="M39" i="6"/>
  <c r="P32" i="6"/>
  <c r="L39" i="7"/>
  <c r="K39" i="8"/>
  <c r="P32" i="8"/>
  <c r="P25" i="3"/>
  <c r="P14" i="4"/>
  <c r="P30" i="4"/>
  <c r="P20" i="5"/>
  <c r="P32" i="5"/>
  <c r="N39" i="6"/>
  <c r="P15" i="6"/>
  <c r="P26" i="6"/>
  <c r="M39" i="7"/>
  <c r="P16" i="7"/>
  <c r="P32" i="7"/>
  <c r="L39" i="8"/>
  <c r="P16" i="8"/>
  <c r="P19" i="4"/>
  <c r="P35" i="4"/>
  <c r="C39" i="5"/>
  <c r="P14" i="5"/>
  <c r="P26" i="5"/>
  <c r="P30" i="5"/>
  <c r="P36" i="5"/>
  <c r="O39" i="6"/>
  <c r="N39" i="7"/>
  <c r="P19" i="3"/>
  <c r="P30" i="3"/>
  <c r="P35" i="3"/>
  <c r="C39" i="4"/>
  <c r="P24" i="4"/>
  <c r="D39" i="5"/>
  <c r="P19" i="5"/>
  <c r="P24" i="5"/>
  <c r="P36" i="6"/>
  <c r="O39" i="7"/>
  <c r="P31" i="8"/>
  <c r="C39" i="3"/>
  <c r="G2" i="3" s="1"/>
  <c r="D39" i="4"/>
  <c r="P13" i="4"/>
  <c r="P29" i="4"/>
  <c r="E39" i="5"/>
  <c r="P13" i="5"/>
  <c r="P35" i="5"/>
  <c r="P14" i="6"/>
  <c r="P25" i="6"/>
  <c r="P30" i="6"/>
  <c r="P20" i="7"/>
  <c r="P31" i="7"/>
  <c r="O39" i="8"/>
  <c r="P15" i="8"/>
  <c r="P20" i="8"/>
  <c r="J39" i="5"/>
  <c r="P11" i="6"/>
  <c r="J39" i="3"/>
  <c r="P11" i="4"/>
  <c r="J39" i="8"/>
  <c r="J39" i="7"/>
  <c r="P39" i="3" l="1"/>
  <c r="P39" i="7"/>
  <c r="P39" i="5"/>
  <c r="P39" i="8"/>
  <c r="P39" i="4"/>
  <c r="P39" i="6"/>
</calcChain>
</file>

<file path=xl/sharedStrings.xml><?xml version="1.0" encoding="utf-8"?>
<sst xmlns="http://schemas.openxmlformats.org/spreadsheetml/2006/main" count="5213" uniqueCount="1089">
  <si>
    <t>S/N</t>
  </si>
  <si>
    <t>Hüquqi aktın adı</t>
  </si>
  <si>
    <t>Bənd</t>
  </si>
  <si>
    <t>Tədbirin adı</t>
  </si>
  <si>
    <t>Alt tədbirin adı</t>
  </si>
  <si>
    <t>İcra müddəti</t>
  </si>
  <si>
    <t>Hüquqi akt üzrə icraçı</t>
  </si>
  <si>
    <t>Hüquqi akt üzrə Nazirliyin icraçı statusu</t>
  </si>
  <si>
    <t>Nazirlik üzrə icraçı</t>
  </si>
  <si>
    <t>Nazirlik üzrə Agentliyin icraçı statusu</t>
  </si>
  <si>
    <t>Hesabatlılığın təmin olunması üzrə</t>
  </si>
  <si>
    <t>Agentlik üzrə məsul bölmə</t>
  </si>
  <si>
    <t>İndikator</t>
  </si>
  <si>
    <t>Nəticə göstəricisi</t>
  </si>
  <si>
    <t xml:space="preserve">Maliyyə yükü </t>
  </si>
  <si>
    <t>1-ci rüb plan</t>
  </si>
  <si>
    <t>1-ci rüb faktiki görülmüş iş (Monitorinq zamanı)</t>
  </si>
  <si>
    <t>2-ci rüb plan</t>
  </si>
  <si>
    <t>2-ci rüb faktiki görülmüş iş (Monitorinq zamanı)</t>
  </si>
  <si>
    <t>3-cü rüb plan</t>
  </si>
  <si>
    <t>3-cü rüb faktiki görülmüş iş (Monitorinq zamanı)</t>
  </si>
  <si>
    <t>4-cü rüb plan</t>
  </si>
  <si>
    <t>4-cü rüb faktiki görülmüş iş (Monitorinq zamanı)</t>
  </si>
  <si>
    <t>I rüb üzrə</t>
  </si>
  <si>
    <t>II rüb üzrə</t>
  </si>
  <si>
    <t>Yarımillik</t>
  </si>
  <si>
    <t>III rüb üzrə</t>
  </si>
  <si>
    <t>IV rüb üzrə</t>
  </si>
  <si>
    <t>İllik</t>
  </si>
  <si>
    <t>Əlavə edilmə rübü</t>
  </si>
  <si>
    <t>“Respublikada ailə institutunun möhkəmləndirilməsi üzrə 2021–2025-ci illər üçün Milli Fəaliyyət Planı”</t>
  </si>
  <si>
    <t>5.4.5.</t>
  </si>
  <si>
    <t>Hədəf qrupların hazırlanması və təqdim edilməsi</t>
  </si>
  <si>
    <t>mütəmadi</t>
  </si>
  <si>
    <t>Nümunə Sosial Xidmətlər Nazirliyi</t>
  </si>
  <si>
    <t>Əsas icraçı</t>
  </si>
  <si>
    <t>Nur Agentliyi, Hüquqi təminat şöbəsi, Aran Agentliyi</t>
  </si>
  <si>
    <t>Digər icraçı</t>
  </si>
  <si>
    <t>Hüquqi akt üzrə</t>
  </si>
  <si>
    <t>ÇAUNF,LAÜT</t>
  </si>
  <si>
    <t>İmzalanmış əməkdaşlıq sənədlərinin sayı</t>
  </si>
  <si>
    <t>Elektron platformada 47 yeni məlumat təqdim edilmişdir</t>
  </si>
  <si>
    <t>Qismən icra</t>
  </si>
  <si>
    <t>Tam icra</t>
  </si>
  <si>
    <t>6.3.9.</t>
  </si>
  <si>
    <t>Pilot layihə çərçivəsində icma əsaslı proqramların gücləndirilməsi</t>
  </si>
  <si>
    <t xml:space="preserve">Aran Agentliyi, 
Nur Agentliyi</t>
  </si>
  <si>
    <t>ÇAUNF, LAÜT</t>
  </si>
  <si>
    <t>Qəbul edilmiş müraciətlərin sayı</t>
  </si>
  <si>
    <t>Elektron platformada 60 yeni məlumat təqdim edilmişdir</t>
  </si>
  <si>
    <t>9.6.4.</t>
  </si>
  <si>
    <t>İcma əsaslı proqramların hazırlanması və təqdim edilməsi</t>
  </si>
  <si>
    <t xml:space="preserve">Aran Agentliyi, 
Zirvə Agentliyi,
Koordinasiya şöbəsi</t>
  </si>
  <si>
    <t>BOV</t>
  </si>
  <si>
    <t>Hazırlanmış metodik vəsaitlərin sayı</t>
  </si>
  <si>
    <t>Hədəf qrupun tam əhatə olunması</t>
  </si>
  <si>
    <t>Vahidin dəyəri orta hesabla 755 azn</t>
  </si>
  <si>
    <t>Tədbirlərin təşkili</t>
  </si>
  <si>
    <t>Hesabat dövründə 23 nəfər hədəf qrupdan tədbirlərə cəlb edilmişdir</t>
  </si>
  <si>
    <t>Siyahının formalaşdırılması</t>
  </si>
  <si>
    <t>40 qurumla əməkdaşlıq çərçivəsində görüşlər təşkil olunmuşdur</t>
  </si>
  <si>
    <t>İcra mexanizminin tətbiqi</t>
  </si>
  <si>
    <t>Hədəf qrupun müəyyən edilməsi</t>
  </si>
  <si>
    <t>8.6.2.</t>
  </si>
  <si>
    <t>Ailələrin hazırlanması və təqdim edilməsi</t>
  </si>
  <si>
    <t xml:space="preserve">Aran Agentliyi,
Koordinasiya şöbəsi</t>
  </si>
  <si>
    <t>ÇAUNF, LAÜT, BOV</t>
  </si>
  <si>
    <t>48 iştirakçının əhatə olunduğu təlim sessiyaları keçirilmişdir</t>
  </si>
  <si>
    <t>Hesabat dövründə 52 nəfər hədəf qrupdan tədbirlərə cəlb edilmişdir</t>
  </si>
  <si>
    <t>8.6.6.</t>
  </si>
  <si>
    <t>Regionlar üzrə metodoloji vəsaitlərin hazırlanması və təqdim edilməsi</t>
  </si>
  <si>
    <t xml:space="preserve">Koordinasiya şöbəsi, 
Aran Agentliyi </t>
  </si>
  <si>
    <t>ÇAUNF, ÖŞŞÖG, LAÜT</t>
  </si>
  <si>
    <t>Elektron platformada 51 yeni məlumat təqdim edilmişdir</t>
  </si>
  <si>
    <t>İş planına uyğun olaraq müvafiq tədbirlər icra olunmuşdur</t>
  </si>
  <si>
    <t>İcra olunmayıb</t>
  </si>
  <si>
    <t>5.5.25.</t>
  </si>
  <si>
    <t>Hədəf qrup üzrə yaşlı vətəndaşların əhatə dairəsinin artırılması</t>
  </si>
  <si>
    <t>ÇAUNF</t>
  </si>
  <si>
    <t>İcra müddətinə var</t>
  </si>
  <si>
    <t>3.3.26.</t>
  </si>
  <si>
    <t>Əməkdaşlıq protokollarının təşkil edilməsi</t>
  </si>
  <si>
    <t>İnkişaf siyasəti şöbəsi, Aran Agentliyi</t>
  </si>
  <si>
    <t>ZCÖSÇ</t>
  </si>
  <si>
    <t>Planlaşdırılan işlər üzrə 23 fəaliyyət həyata keçirilmişdir</t>
  </si>
  <si>
    <t>34 iştirakçının əhatə olunduğu təlim sessiyaları keçirilmişdir</t>
  </si>
  <si>
    <t>2.2.15.</t>
  </si>
  <si>
    <t>Hədəf qrupların inkişaf etdirilməsi</t>
  </si>
  <si>
    <t>9 qurumla əməkdaşlıq çərçivəsində görüşlər təşkil olunmuşdur</t>
  </si>
  <si>
    <t>7.4.17.</t>
  </si>
  <si>
    <t>Pilot layihə çərçivəsində gənclərin davamlı olaraq həyata keçirilməsi</t>
  </si>
  <si>
    <t>İcra olunmayıb, prioritet deyil</t>
  </si>
  <si>
    <t>7.8.18.</t>
  </si>
  <si>
    <t>Hədəf qrup üzrə hədəf qrupların inkişaf etdirilməsi</t>
  </si>
  <si>
    <t>Hesabat dövründə 30 nəfər hədəf qrupdan tədbirlərə cəlb edilmişdir</t>
  </si>
  <si>
    <t>Hesabat dövründə 4 nəfər hədəf qrupdan tədbirlərə cəlb edilmişdir</t>
  </si>
  <si>
    <t>2.8.15.</t>
  </si>
  <si>
    <t>Təlim modullarının gücləndirilməsi</t>
  </si>
  <si>
    <t>Metodik təlimatın layihəsi hazırlanmış və razılaşdırılmışdır</t>
  </si>
  <si>
    <t>Hesabat dövründə 11 nəfər hədəf qrupdan tədbirlərə cəlb edilmişdir</t>
  </si>
  <si>
    <t>5.4.20.</t>
  </si>
  <si>
    <t>Hədəf qrup üzrə statistik məlumat bazasının genişləndirilməsi</t>
  </si>
  <si>
    <t>Elektron platformada 27 yeni məlumat təqdim edilmişdir</t>
  </si>
  <si>
    <t>2.3.19.</t>
  </si>
  <si>
    <t>Pilot layihə çərçivəsində elektron platformanın genişləndirilməsi</t>
  </si>
  <si>
    <t>Hesabat dövründə 56 nəfər hədəf qrupdan tədbirlərə cəlb edilmişdir</t>
  </si>
  <si>
    <t>6.6.19.</t>
  </si>
  <si>
    <t>Pilot layihə çərçivəsində təlim modullarının təkmilləşdirilməsi</t>
  </si>
  <si>
    <t>Planlaşdırılan işlər üzrə 48 fəaliyyət həyata keçirilmişdir</t>
  </si>
  <si>
    <t>8.5.10.</t>
  </si>
  <si>
    <t>İcma əsaslı proqramların gücləndirilməsi</t>
  </si>
  <si>
    <t>Aran Agentliyi, İnkişaf siyasəti şöbəsi</t>
  </si>
  <si>
    <t>Hesabat dövründə 33 nəfər hədəf qrupdan tədbirlərə cəlb edilmişdir</t>
  </si>
  <si>
    <t>3.6.14.</t>
  </si>
  <si>
    <t>İllik plana uyğun qiymətləndirmə meyarlarının inkişaf etdirilməsi</t>
  </si>
  <si>
    <t>Planlaşdırılan işlər üzrə 45 fəaliyyət həyata keçirilmişdir</t>
  </si>
  <si>
    <t>8.6.13.</t>
  </si>
  <si>
    <t>Metodoloji vəsaitlərin təkmilləşdirilməsi</t>
  </si>
  <si>
    <t>17 qurumla əməkdaşlıq çərçivəsində görüşlər təşkil olunmuşdur</t>
  </si>
  <si>
    <t>Hesabat dövründə 45 nəfər hədəf qrupdan tədbirlərə cəlb edilmişdir</t>
  </si>
  <si>
    <t xml:space="preserve">9.6.27. </t>
  </si>
  <si>
    <t>Pilot layihə çərçivəsində könüllü qrupların əhatə dairəsinin artırılması</t>
  </si>
  <si>
    <t>Planlaşdırılan işlər üzrə 56 fəaliyyət həyata keçirilmişdir</t>
  </si>
  <si>
    <t>23 iştirakçının əhatə olunduğu təlim sessiyaları keçirilmişdir</t>
  </si>
  <si>
    <t>2.8.8.</t>
  </si>
  <si>
    <t>Könüllü qrupların təhlilinin aparılması</t>
  </si>
  <si>
    <t>46 iştirakçının əhatə olunduğu təlim sessiyaları keçirilmişdir</t>
  </si>
  <si>
    <t>8.8.14.</t>
  </si>
  <si>
    <t>Pilot layihə çərçivəsində ailələrin inkişaf etdirilməsi</t>
  </si>
  <si>
    <t>Respublikada uşaq hüquqlarının qorunması üzrə 2023–2028-ci illər üçün Dövlət Proqramı</t>
  </si>
  <si>
    <t>1.8.12.</t>
  </si>
  <si>
    <t>Regionlar üzrə təlim modullarının davamlı olaraq həyata keçirilməsi</t>
  </si>
  <si>
    <t>Statistik məlumat bazasının genişləndirilməsi</t>
  </si>
  <si>
    <t>2025–2030</t>
  </si>
  <si>
    <t>Mehr Qurumu, Qaya Qurumu, Səma Nazirliyi, Bəhər Nazirliyi, Dəniz Nazirliyi, Nümunə Sosial Xidmətlər Nazirliyi, Lalə Qurumu, Çinar Komitəsi,  Yaylaq Qapalı Səhmdar Cəmiyyəti, Alov Agentliyi, Qeyri- Hökumət Təşkilatlarına Dövlət Dəstəyi Agentliyi</t>
  </si>
  <si>
    <t xml:space="preserve">DÜİ,
XIŞBI, 
MKFÜD, NMZ</t>
  </si>
  <si>
    <t>YYÇX, ÇAUNF, ÖŞŞÖG</t>
  </si>
  <si>
    <t>Hədəf qrup üzrə regional mərkəzlərin təhlilinin aparılması</t>
  </si>
  <si>
    <t>İllik plana uyğun sosial xidmətlərin inkişaf etdirilməsi</t>
  </si>
  <si>
    <t>Respublikada gənclərin məşğulluğunun artırılması üzrə 2020–2024-ci illər üçün Strategiyanın həyata keçirilməsi üzrə Tədbirlər Planı</t>
  </si>
  <si>
    <t>7.22.8</t>
  </si>
  <si>
    <t>İllik plana uyğun ailələrin əhatə dairəsinin artırılması</t>
  </si>
  <si>
    <t>Pilot layihə çərçivəsində informasiya sisteminin təhlilinin aparılması</t>
  </si>
  <si>
    <t>2021-2025</t>
  </si>
  <si>
    <t>Aran Agentliyi, Hüquqi təminat şöbəsi, Sahil Qurumu, Beynəlxalq tərəfdaşlıq şöbəsi</t>
  </si>
  <si>
    <t>Tapşırıqların İcrasına Nəzarət platforması üzrə</t>
  </si>
  <si>
    <t>“Respublikada yaşlı vətəndaşların sosial dəstəyi üzrə 2023–2025-ci illər üçün Konsepsiyanın icrası üzrə Fəaliyyət Planı”</t>
  </si>
  <si>
    <t>7.1.7.5.</t>
  </si>
  <si>
    <t>Regionlar üzrə statistik məlumat bazasının davamlı olaraq həyata keçirilməsi</t>
  </si>
  <si>
    <t xml:space="preserve">Aran Agentliyi, Rəqəmsal transformasiya şöbəsi, Meydan Agentliyi,
Koordinasiya şöbəsi</t>
  </si>
  <si>
    <t>Yenilənmiş məlumat bazalarının sayı</t>
  </si>
  <si>
    <t>Hədəf qrup üzrə 24 tədbirin keçirilməsi</t>
  </si>
  <si>
    <t>Elektron platformada 37 yeni məlumat təqdim edilmişdir</t>
  </si>
  <si>
    <t>Hesabatın hazırlanması</t>
  </si>
  <si>
    <t>Hazırlıq işlərinin aparılması</t>
  </si>
  <si>
    <t>8.2.5.6.</t>
  </si>
  <si>
    <t>Tədqiqat işlərinin əhatə dairəsinin artırılması</t>
  </si>
  <si>
    <t>Rəqəmsal transformasiya şöbəsi, Aran Agentliyi, Koordinasiya şöbəsi</t>
  </si>
  <si>
    <t>ÇAUNF,LAÜT,YYÇX</t>
  </si>
  <si>
    <t>Keçirilmiş maarifləndirmə tədbirlərinin sayı</t>
  </si>
  <si>
    <t>Hədəf qrup üzrə 40 tədbirin keçirilməsi</t>
  </si>
  <si>
    <t>Respublikada ətraf mühitin mühafizəsi üzrə 2020–2025-ci illər üçün Tədbirlər Proqramı</t>
  </si>
  <si>
    <t>4.5.3.</t>
  </si>
  <si>
    <t>Hədəf qrup üzrə statistik məlumat bazasının əhatə dairəsinin artırılması</t>
  </si>
  <si>
    <t>Mütəmadi</t>
  </si>
  <si>
    <t>Bəhər Nazirliyi, Orxan Nazirliyi, Nümunə Sosial Xidmətlər Nazirliyi, Vüsal Nazirliyi, Lalə Qurumu, Çinar Komitəsi, Aydın Xidməti, Təbiət Qurumu, Günəş Nazirliyi, Ulduz Agentliyi, Bulaq Şurası</t>
  </si>
  <si>
    <t>Dağ Qurumu, Koordinasiya şöbəsi, Aran Agentliyi, Ərgün Xidməti</t>
  </si>
  <si>
    <t>Elektron platformada 33 yeni məlumat təqdim edilmişdir</t>
  </si>
  <si>
    <t>8.4.1.</t>
  </si>
  <si>
    <t>İnformasiya sisteminin gücləndirilməsi</t>
  </si>
  <si>
    <t>Bəhər Nazirliyi, Qızıl Nazirliyi, Gümüş Komitəsi, Zümrüd Xidməti, Ənvər Xidməti, Nümunə Sosial Xidmətlər Nazirliyi, Aydın Xidməti</t>
  </si>
  <si>
    <t xml:space="preserve">Koordinasiya şöbəsi, Aran Agentliyi,
İnsan resursları şöbəsi, Ərgün Xidməti</t>
  </si>
  <si>
    <t>Aparılmış monitorinqlərin sayı</t>
  </si>
  <si>
    <t>7.1.8.</t>
  </si>
  <si>
    <t>Pilot layihə çərçivəsində regional mərkəzlərin inkişaf etdirilməsi</t>
  </si>
  <si>
    <t>Bəhər Nazirliyi, Nümunə Sosial Xidmətlər Nazirliyi, Gümüş Komitəsi, Zümrüd Xidməti, Aydın Xidməti, Ənvər Xidməti, digər aidiyyəti dövlət orqanları</t>
  </si>
  <si>
    <t>Ərgün Xidməti, Aran Agentliyi</t>
  </si>
  <si>
    <t>6.6.1.</t>
  </si>
  <si>
    <t>Ailələrin gücləndirilməsi</t>
  </si>
  <si>
    <t>Bəhər Nazirliyi, Lalə Qurumu, Çinar Komitəsi, Nümunə Sosial Xidmətlər Nazirliyi, Aydın Xidməti</t>
  </si>
  <si>
    <t>Aran Agentliyi, Koordinasiya şöbəsi</t>
  </si>
  <si>
    <t>5.2.4.</t>
  </si>
  <si>
    <t>İllik plana uyğun könüllü qrupların təşkil edilməsi</t>
  </si>
  <si>
    <t>Nümunə Sosial Xidmətlər Nazirliyi, Lalə Qurumu, Çinar Komitəsi, Vüsal Nazirliyi, Səbuhi Agentliyi, Bəhər Nazirliyi</t>
  </si>
  <si>
    <t>Hədəf qrup üzrə 9 tədbirin keçirilməsi</t>
  </si>
  <si>
    <t>Gecikmə</t>
  </si>
  <si>
    <t>6.1.7.</t>
  </si>
  <si>
    <t>Pilot layihə çərçivəsində məsləhətləşmə xidmətlərinin genişləndirilməsi</t>
  </si>
  <si>
    <t>Rəhim Nazirliyi, Bəhər Nazirliyi, Aydın Xidməti, Vüsal Nazirliyi, Nümunə Sosial Xidmətlər Nazirliyi, Lalə Qurumu, Çinar Komitəsi,digər aidiyyəti dövlət orqanları</t>
  </si>
  <si>
    <t>Aran Agentliyi, Meydan Agentliyi</t>
  </si>
  <si>
    <t>3.3.6.</t>
  </si>
  <si>
    <t>Statistik məlumat bazasının tətbiq olunması</t>
  </si>
  <si>
    <t>Orxan Nazirliyi, Lalə Qurumu, Çinar Komitəsi, Nümunə Sosial Xidmətlər Nazirliyi, Bəhər Nazirliyi, ixtisaslaşmış qeyri-hökumət təşkilatlarını cəlb etməklə</t>
  </si>
  <si>
    <t xml:space="preserve">Aran Agentliyi
</t>
  </si>
  <si>
    <t>7.4.3.</t>
  </si>
  <si>
    <t>Hədəf qrup üzrə monitorinq mexanizminin davamlı olaraq həyata keçirilməsi</t>
  </si>
  <si>
    <t>Nümunə Sosial Xidmətlər Nazirliyi, Lalə Qurumu, Çinar Komitəsi, Orxan Nazirliyi, Səbuhi Agentliyi</t>
  </si>
  <si>
    <t>Əhatə olunan şəxslərin sayı</t>
  </si>
  <si>
    <t>Hesabat dövründə 29 nəfər hədəf qrupdan tədbirlərə cəlb edilmişdir</t>
  </si>
  <si>
    <t>9.1.7.</t>
  </si>
  <si>
    <t>Statistik məlumat bazasının təkmilləşdirilməsi</t>
  </si>
  <si>
    <t>Orxan Nazirliyi, Lalə Qurumu, Çinar Komitəsi, Nümunə Sosial Xidmətlər Nazirliyi, Bəhər Nazirliyi, yerli icra hakimiyyəti orqanları, aidiyyəti qeyri-hökumət təşkilatlarını cəlb etməklə</t>
  </si>
  <si>
    <t>Koordinasiya şöbəsi, Aran Agentliyi</t>
  </si>
  <si>
    <t>Açılmış xidmət məntəqələrinin sayı</t>
  </si>
  <si>
    <t>2.7.2.</t>
  </si>
  <si>
    <t>Regionlar üzrə əməkdaşlıq protokollarının gücləndirilməsi</t>
  </si>
  <si>
    <t>Nümunə Sosial Xidmətlər Nazirliyi, Lalə Qurumu, Çinar Komitəsi, Yerli icra hakimiyyəti orqanları</t>
  </si>
  <si>
    <t>Monitorinq və qiymətləndirmə şöbəsi, Aran Agentliyi</t>
  </si>
  <si>
    <t>15 iştirakçının əhatə olunduğu təlim sessiyaları keçirilmişdir</t>
  </si>
  <si>
    <t>Planlaşdırılan işlər üzrə 8 fəaliyyət həyata keçirilmişdir</t>
  </si>
  <si>
    <t>9.6.8.</t>
  </si>
  <si>
    <t>Regionlar üzrə məsləhətləşmə xidmətlərinin tətbiq olunması</t>
  </si>
  <si>
    <t xml:space="preserve">Bəhər Nazirliyi, 
Aydın Xidməti, Lalə Qurumu, Çinar Komitəsi, Nümunə Sosial Xidmətlər Nazirliyi, 
Orxan Nazirliyi</t>
  </si>
  <si>
    <t>Aran Agentliyi</t>
  </si>
  <si>
    <t>4.3.9.</t>
  </si>
  <si>
    <t>Hədəf qrup üzrə icma əsaslı proqramların təkmilləşdirilməsi</t>
  </si>
  <si>
    <t xml:space="preserve">Lalə Qurumu, Çinar Komitəsi, Nümunə Sosial Xidmətlər Nazirliyi, 
Orxan Nazirliyi, Vüsal Nazirliyi, Səbuhi Agentliyi, Bəhər Nazirliyi</t>
  </si>
  <si>
    <t>Koordinasiya şöbəsi, Aran Agentliyi, Maliyyə və təchizat şöbəsi</t>
  </si>
  <si>
    <t>LAÜT, HZÜ</t>
  </si>
  <si>
    <t>Hesabat dövründə 24 nəfər hədəf qrupdan tədbirlərə cəlb edilmişdir</t>
  </si>
  <si>
    <t>Hesabat dövründə 49 nəfər hədəf qrupdan tədbirlərə cəlb edilmişdir</t>
  </si>
  <si>
    <t>1.2.5.</t>
  </si>
  <si>
    <t>Bəhər Nazirliyi, Qızıl Nazirliyi, Gümüş Komitəsi, Zümrüd Xidməti, Ənvər Xidməti, Nümunə Sosial Xidmətlər Nazirliyi, Aydın Xidməti, Orxan Nazirliyi,  Rəhim Nazirliyi, Lalə Qurumu, Çinar Komitəsi, Ulduz Agentliyi</t>
  </si>
  <si>
    <t xml:space="preserve">Kəmalə Qurumu,
Aran Agentliyi, Ərgün Xidməti</t>
  </si>
  <si>
    <t>7.6.9.</t>
  </si>
  <si>
    <t>Regionlar üzrə sosial xidmətlərin əhatə dairəsinin artırılması</t>
  </si>
  <si>
    <t xml:space="preserve">Bəhər Nazirliyi, 
Zümrüd Xidməti, Aydın Xidməti, 
Ənvər Xidməti,
Gümüş Komitəsi,
Nigar Qurumu
Tural Nazirliyi, Lalə Qurumu, Çinar Komitəsi, Vüsal Nazirliyi, digər aidiyyəti dövlət orqanları ixtisaslaşmış qeyri-hökumət təşkilatlarını və beynəlxalq təşkilatları cəlb etməklə</t>
  </si>
  <si>
    <t>Dağ Qurumu, Aran Agentliyi, Kəmalə Qurumu</t>
  </si>
  <si>
    <t>6.2.4.</t>
  </si>
  <si>
    <t>Pilot layihə çərçivəsində könüllü qrupların təhlilinin aparılması</t>
  </si>
  <si>
    <t xml:space="preserve">Bəhər Nazirliyi, Nümunə Sosial Xidmətlər Nazirliyi, Orxan Nazirliyi, 
Lalə Qurumu, Çinar Komitəsi, Aydın Xidməti, Rəhim Nazirliyi,
Vüsal Nazirliyi, 
Dəniz Nazirliyi, Elnur Nazirliyi, 
Təbiət Qurumu, Günəş Nazirliyi, 
Ulduz Agentliyi, 
Alov Agentliyi, 
Bulaq Şurası, Fidan Qapalı Səhmdar Cəmiyyəti, aidiyyəti qeyri-hökumət təşkilatlarını cəlb etməklə</t>
  </si>
  <si>
    <t xml:space="preserve">Kommunikasiya şöbəsi, Koordinasiya şöbəsi, Aran Agentliyi </t>
  </si>
  <si>
    <t>YYÇX, LAÜT, ÇAUNF</t>
  </si>
  <si>
    <t>8.7.8.</t>
  </si>
  <si>
    <t>Regionlar üzrə ailələrin tətbiq olunması</t>
  </si>
  <si>
    <t xml:space="preserve">Bəhər Nazirliyi, Nümunə Sosial Xidmətlər Nazirliyi, Orxan Nazirliyi, 
Vüsal Nazirliyi, Rəhim Nazirliyi, Dəniz Nazirliyi, Elnur Nazirliyi, Lalə Qurumu, Çinar Komitəsi, Aydın Xidməti,  Ulduz Agentliyi,Təbiət Qurumu, Günəş Nazirliyi, Bulaq Şurası, Fidan Qapalı Səhmdar Cəmiyyəti, maarifləndirmə tədbirlərini və təlimləri təşkil edən digər dövlət qurumları aidiyyəti qeyri-hökumət təşkilatlarını cəlb etməklə</t>
  </si>
  <si>
    <t>Respublikada rəqəmsal xidmətlərin inkişafı üzrə 2025–2027-ci illər üçün Milli Fəaliyyət Planı</t>
  </si>
  <si>
    <t>11.7.6.</t>
  </si>
  <si>
    <t>Gənclərin genişləndirilməsi</t>
  </si>
  <si>
    <t xml:space="preserve">Lalə Qurumu, Çinar Komitəsi,
Orxan Nazirliyi, Vüsal Nazirliyi,
Nümunə Sosial Xidmətlər Nazirliyi, Yasin Komitəsi, aidiyyəti yerli icra hakimiyyəti orqanları
Tövsiyə edilsin: Sevil Qurumu, aidiyyəti qeyri-hökumət təşkilatları</t>
  </si>
  <si>
    <t>Koordinasiya şöbəsi, Statistika və hesabat şöbəsi, Kommunikasiya şöbəsi, Aran Agentliyi, Meydan Agentliyi, Rüfət Agentliyi</t>
  </si>
  <si>
    <t>Hazırlanmış hesabatların sayı</t>
  </si>
  <si>
    <t>Hədəf qrup üzrə 13 tədbirin keçirilməsi</t>
  </si>
  <si>
    <t>27.3.6.</t>
  </si>
  <si>
    <t>İnformasiya sisteminin inkişaf etdirilməsi</t>
  </si>
  <si>
    <t xml:space="preserve">Lalə Qurumu, Çinar Komitəsi,
Nümunə Sosial Xidmətlər Nazirliyi
Tövsiyə edilsin: Sevil Qurumu,
Mələk Şurası</t>
  </si>
  <si>
    <t>Koordinasiya şöbəsi, Kommunikasiya şöbəsi, Aran Agentliyi</t>
  </si>
  <si>
    <t>YYÇX, ÇAUNF</t>
  </si>
  <si>
    <t>18.4.6.</t>
  </si>
  <si>
    <t xml:space="preserve">Lalə Qurumu, Çinar Komitəsi,
Nümunə Sosial Xidmətlər Nazirliyi, Bəhər Nazirliyi,
Vüsal Nazirliyi
Tövsiyə edilsin: Sevil Qurumu, Respublika Rəhbərliyi yanında Qeyri-Hökumət Təşkilatlarına Dövlət Dəstəyi Şurası</t>
  </si>
  <si>
    <t>Kommunikasiya şöbəsi, Koordinasiya şöbəsi, Aran Agentliyi</t>
  </si>
  <si>
    <t>Təşkil olunan təlimlərin sayı</t>
  </si>
  <si>
    <t>Hədəf qrup üzrə 43 tədbirin keçirilməsi</t>
  </si>
  <si>
    <t>20.7.1.</t>
  </si>
  <si>
    <t>Regionlar üzrə ailələrin davamlı olaraq həyata keçirilməsi</t>
  </si>
  <si>
    <t xml:space="preserve">Lalə Qurumu, Çinar Komitəsi,
Nümunə Sosial Xidmətlər Nazirliyi, Dəniz Nazirliyi
Tövsiyə edilsin: aidiyyəti qeyri-hökumət təşkilatları,
Bəxtiyar Qurumu</t>
  </si>
  <si>
    <t>Kommunikasiya şöbəsi, Aran Agentliyi, Rüfət Agentliyi</t>
  </si>
  <si>
    <t>24.2.9.</t>
  </si>
  <si>
    <t>Regionlar üzrə sosial xidmətlərin təkmilləşdirilməsi</t>
  </si>
  <si>
    <t xml:space="preserve">Nümunə Sosial Xidmətlər Nazirliyi, Lalə Qurumu, Çinar Komitəsi
Tövsiyə edilsin: aidiyyəti qeyri-hökumət təşkilatları</t>
  </si>
  <si>
    <t>Plana uyğun icra</t>
  </si>
  <si>
    <t>17.6.4.</t>
  </si>
  <si>
    <t>Pilot layihə çərçivəsində elektron platformanın gücləndirilməsi</t>
  </si>
  <si>
    <t>Bəhər Nazirliyi, Orxan Nazirliyi, Vüsal Nazirliyi, Nümunə Sosial Xidmətlər Nazirliyi, Lalə Qurumu, Çinar Komitəsi, Təbiət Qurumu, Günəş Nazirliyi, Yerli icra hakimiyyəti orqanları</t>
  </si>
  <si>
    <t>Hədəf qrup üzrə 3 tədbirin keçirilməsi</t>
  </si>
  <si>
    <t>25.9.2.</t>
  </si>
  <si>
    <t>İllik plana uyğun gənclərin təkmilləşdirilməsi</t>
  </si>
  <si>
    <t xml:space="preserve">Lalə Qurumu, Çinar Komitəsi, Nümunə Sosial Xidmətlər Nazirliyi, Vüsal Nazirliyi, Orxan Nazirliyi
Tövsiyə edilsin: aidiyyəti qeyri-hökumət təşkilatları, Bəxtiyar Qurumu</t>
  </si>
  <si>
    <t>Strateji inkişaf şöbəsi, Arzu Agentliyi, Aran Agentliyi</t>
  </si>
  <si>
    <t>ARUAN</t>
  </si>
  <si>
    <t>Hədəf qrup üzrə 33 tədbirin keçirilməsi</t>
  </si>
  <si>
    <t>Qurumun daxili resursları hesabına</t>
  </si>
  <si>
    <t>20.9.9.</t>
  </si>
  <si>
    <t>Regional mərkəzlərin təşkil edilməsi</t>
  </si>
  <si>
    <t xml:space="preserve">Lalə Qurumu, Çinar Komitəsi, Nümunə Sosial Xidmətlər Nazirliyi, Bəhər Nazirliyi, Orxan Nazirliyi
Tövsiyə edilsin: Sevil Qurumu, aidiyyəti qeyri-hökumət təşkilatları</t>
  </si>
  <si>
    <t>YYÇX, ÇAUNF, LAÜT</t>
  </si>
  <si>
    <t>Hədəf qrup üzrə 28 tədbirin keçirilməsi</t>
  </si>
  <si>
    <t>Planlaşdırılan işlər üzrə 27 fəaliyyət həyata keçirilmişdir</t>
  </si>
  <si>
    <t>“Respublikada regional inkişaf üzrə 2024–2029-ci illər üçün Dövlət Proqramı”</t>
  </si>
  <si>
    <t>3.7.8.1.</t>
  </si>
  <si>
    <t>Pilot layihə çərçivəsində yaşlı vətəndaşların əhatə dairəsinin artırılması</t>
  </si>
  <si>
    <t>Hədəf qrup üzrə yaşlı vətəndaşların təhlilinin aparılması</t>
  </si>
  <si>
    <t>Koordinasiya şöbəsi, Sima Fondu, Aran Agentliyi, Xidmət standartları şöbəsi, Daxili nəzarət şöbəsi</t>
  </si>
  <si>
    <t>MX,RIR</t>
  </si>
  <si>
    <t>26 iştirakçının əhatə olunduğu təlim sessiyaları keçirilmişdir</t>
  </si>
  <si>
    <t>6.8.4.4.</t>
  </si>
  <si>
    <t>İllik plana uyğun könüllü qrupların gücləndirilməsi</t>
  </si>
  <si>
    <t>İllik plana uyğun icma əsaslı proqramların davamlı olaraq həyata keçirilməsi</t>
  </si>
  <si>
    <t>2022-2026</t>
  </si>
  <si>
    <t>Koordinasiya şöbəsi, Aran Agentliyi, Kamran Mərkəzi, Strateji inkişaf şöbəsi, Dağ Qurumu</t>
  </si>
  <si>
    <t>ÇAUNF, LAÜT, ARUAN</t>
  </si>
  <si>
    <t>Hədəf qrup üzrə 6 tədbirin keçirilməsi</t>
  </si>
  <si>
    <t>Hədəf qrup üzrə könüllü qrupların davamlı olaraq həyata keçirilməsi</t>
  </si>
  <si>
    <t>Monitorinq mexanizminin hazırlanması və təqdim edilməsi</t>
  </si>
  <si>
    <t>ÇAUNF, LAÜT, ARUAN, MXT</t>
  </si>
  <si>
    <t>Statistik məlumat bazasının təhlilinin aparılması</t>
  </si>
  <si>
    <t>4.2.3.9.</t>
  </si>
  <si>
    <t>Hədəf qrupların gücləndirilməsi</t>
  </si>
  <si>
    <t>Regionlar üzrə maarifləndirmə kampaniyalarının hazırlanması və təqdim edilməsi</t>
  </si>
  <si>
    <t>Monitorinq və qiymətləndirmə şöbəsi, Koordinasiya şöbəsi, Aran Agentliyi, Rüfət Agentliyi, Daxili nəzarət şöbəsi</t>
  </si>
  <si>
    <t>Planlaşdırılan işlər üzrə 4 fəaliyyət həyata keçirilmişdir</t>
  </si>
  <si>
    <t>Statistik məlumat bazasının gücləndirilməsi</t>
  </si>
  <si>
    <t>2023-2026</t>
  </si>
  <si>
    <t>7 iştirakçının əhatə olunduğu təlim sessiyaları keçirilmişdir</t>
  </si>
  <si>
    <t>27 qurumla əməkdaşlıq çərçivəsində görüşlər təşkil olunmuşdur</t>
  </si>
  <si>
    <t>Hədəf qrup üzrə qiymətləndirmə meyarlarının davamlı olaraq həyata keçirilməsi</t>
  </si>
  <si>
    <t>Elektron platformada 35 yeni məlumat təqdim edilmişdir</t>
  </si>
  <si>
    <t>Regionlar üzrə müraciətlərin qəbulu prosesinin inkişaf etdirilməsi</t>
  </si>
  <si>
    <t>Planlaşdırılan işlər üzrə 22 fəaliyyət həyata keçirilmişdir</t>
  </si>
  <si>
    <t>Respublikada təhsilə çıxışın genişləndirilməsi üzrə 2024–2029-ci illər üçün Strategiyanın həyata keçirilməsi üzrə Tədbirlər Planı</t>
  </si>
  <si>
    <t>4.4.20.</t>
  </si>
  <si>
    <t>Regionlar üzrə informasiya sisteminin təhlilinin aparılması</t>
  </si>
  <si>
    <t>2023 - 2026</t>
  </si>
  <si>
    <t xml:space="preserve">Aidiyyəti qurumlar,
ÇKYF, USƏ, AİP, FBNŞO, ÜFKR, Zeynal Qurumu</t>
  </si>
  <si>
    <t>Layihələrin idarə olunması şöbəsi, Nazirliyin tabeliyindəki qurumlar</t>
  </si>
  <si>
    <t>MXT</t>
  </si>
  <si>
    <t>2.3.21.</t>
  </si>
  <si>
    <t>Statistik məlumat bazasının əhatə dairəsinin artırılması</t>
  </si>
  <si>
    <t>2022 - 2026</t>
  </si>
  <si>
    <t xml:space="preserve">VP,
KİYCR, TİC, NICOL, AİP, KCOÇK, FBNŞO, DÜHXE</t>
  </si>
  <si>
    <t>Hüquqi təminat şöbəsi, Nur Agentliyi, Aran Agentliyi</t>
  </si>
  <si>
    <t>ÖŞŞÖG, LAÜT, ÇAUNF</t>
  </si>
  <si>
    <t>3.5.6.</t>
  </si>
  <si>
    <t>Hədəf qrup üzrə metodoloji vəsaitlərin tətbiq olunması</t>
  </si>
  <si>
    <t xml:space="preserve">NICOL,
ÇKYF, AİP, FBNŞO</t>
  </si>
  <si>
    <t>Layihələrin idarə olunması şöbəsi,Nazirliyin tabeliyindəki qurumlar, Xidmət standartları şöbəsi</t>
  </si>
  <si>
    <t>RIR</t>
  </si>
  <si>
    <t>5.6.3.3.</t>
  </si>
  <si>
    <t>Metodoloji vəsaitlərin davamlı olaraq həyata keçirilməsi</t>
  </si>
  <si>
    <t xml:space="preserve">Layihələrin idarə olunması şöbəsi, Hüquqi təminat şöbəsi, Nur Agentliyi, Aran Agentliyi, MVAI İnfrastruktur Mərkəzi  </t>
  </si>
  <si>
    <t>ÇAUNF, MXT</t>
  </si>
  <si>
    <t>3.2.5.</t>
  </si>
  <si>
    <t>İllik plana uyğun könüllü qrupların təkmilləşdirilməsi</t>
  </si>
  <si>
    <t>KCOÇK, Ramin Qurumu, NICOL, AİP, FBNŞO</t>
  </si>
  <si>
    <t>Statistika və hesabat şöbəsi,Meydan Agentliyi, Aran Agentliyi</t>
  </si>
  <si>
    <t>TSP</t>
  </si>
  <si>
    <t>6.7.6.</t>
  </si>
  <si>
    <t>Hədəf qrup üzrə könüllü qrupların təkmilləşdirilməsi</t>
  </si>
  <si>
    <t xml:space="preserve">KCOÇK,
Nümunə Sosial Xidmətlər Nazirliyi</t>
  </si>
  <si>
    <t>ÖŞŞÖG, ÇAUNF</t>
  </si>
  <si>
    <t>Hesabat dövründə 13 nəfər hədəf qrupdan tədbirlərə cəlb edilmişdir</t>
  </si>
  <si>
    <t>Respublikada icma əsaslı xidmətlərin inkişafı üzrə 2023–2026-ci illər üçün Konsepsiyanın icrası üzrə Fəaliyyət Planı</t>
  </si>
  <si>
    <t>Hədəf qrup üzrə icma əsaslı proqramların gücləndirilməsi</t>
  </si>
  <si>
    <t>Metodologiya şöbəsi,                                                                   İnformasiya təhlükəsizliyi şöbəsi, Nazirliyin tabeliyində Sosial Xidmətlər Agentliyi</t>
  </si>
  <si>
    <t>YYÇX, ZCÖSÇ</t>
  </si>
  <si>
    <t>52 iştirakçının əhatə olunduğu təlim sessiyaları keçirilmişdir</t>
  </si>
  <si>
    <t>“Respublikada könüllülük hərəkatının təşviqi üzrə 2021–2025-ci illər üçün Tədbirlər Proqramı”</t>
  </si>
  <si>
    <t>8.4.4.2</t>
  </si>
  <si>
    <t>Hədəf qrup üzrə könüllü qrupların inkişaf etdirilməsi</t>
  </si>
  <si>
    <t>Maarifləndirmə kampaniyalarının gücləndirilməsi</t>
  </si>
  <si>
    <t xml:space="preserve">Nümunə Sosial Xidmətlər Nazirliyi
Lamiə Nazirliyi, yerli icra hakimiyyəti orqanları </t>
  </si>
  <si>
    <t xml:space="preserve">Aran Agentliyi,
Koordinasiya şöbəsi, Layihələrin idarə olunması şöbəsi, “MVAI” İnfrastruktur Mərkəzi</t>
  </si>
  <si>
    <t>Sənədin hazırlanması və təsdiqi</t>
  </si>
  <si>
    <t>7.4.1.7.</t>
  </si>
  <si>
    <t>Pilot layihə çərçivəsində gənclərin inkişaf etdirilməsi</t>
  </si>
  <si>
    <t>Pilot layihə çərçivəsində monitorinq mexanizminin təşkil edilməsi</t>
  </si>
  <si>
    <t xml:space="preserve">Nümunə Sosial Xidmətlər Nazirliyi 
Lamiə Nazirliyi, Lalə Qurumu, Çinar Komitəsi, yerli icra hakimiyyəti orqanları 
Nümunə Sosial Xidmətlər Nazirliyi 
Vüsal Nazirliyi, Səbuhi Agentliyi, Cavid Birliyi, yerli icra hakimiyyəti orqanları </t>
  </si>
  <si>
    <t xml:space="preserve">Koordinasiya şöbəsi 
Aran Agentliyi, Maliyyə və təchizat şöbəsi, Hüquqi təminat şöbəsi, Nur Agentliyi</t>
  </si>
  <si>
    <t>MXT, MX, ÖŞŞÖG</t>
  </si>
  <si>
    <t>7.4.9.4</t>
  </si>
  <si>
    <t>Hədəf qrup üzrə metodoloji vəsaitlərin təşkil edilməsi</t>
  </si>
  <si>
    <t>Hədəf qrup üzrə elektron platformanın genişləndirilməsi</t>
  </si>
  <si>
    <t xml:space="preserve">2025
2026</t>
  </si>
  <si>
    <t xml:space="preserve">Lalə Qurumu, Çinar Komitəsi 
Nümunə Sosial Xidmətlər Nazirliyi, Bəhər Nazirliyi, Nərgiz Şurası, yerli icra hakimiyyəti orqanları</t>
  </si>
  <si>
    <t xml:space="preserve">Aran Agentliyi,
Rüfət Agentliyi </t>
  </si>
  <si>
    <t>ZCÖSÇ, ÖŞŞÖG, ÇAUNF, RIR</t>
  </si>
  <si>
    <t>Dəstək alan ailələrin sayı</t>
  </si>
  <si>
    <t>Hədəf qrup üzrə 39 tədbirin keçirilməsi</t>
  </si>
  <si>
    <t>6.9.8.4</t>
  </si>
  <si>
    <t>Hədəf qrup üzrə statistik məlumat bazasının tətbiq olunması</t>
  </si>
  <si>
    <t>1.7.8.5</t>
  </si>
  <si>
    <t>Nümunə Sosial Xidmətlər Nazirliyi, Yerli icra hakimiyyəti orqanları</t>
  </si>
  <si>
    <t>LAÜT</t>
  </si>
  <si>
    <t>Hədəf qrup üzrə 49 tədbirin keçirilməsi</t>
  </si>
  <si>
    <t>45 iştirakçının əhatə olunduğu təlim sessiyaları keçirilmişdir</t>
  </si>
  <si>
    <t>4.2.1.2.</t>
  </si>
  <si>
    <t>İnformasiya sisteminin genişləndirilməsi</t>
  </si>
  <si>
    <t>Məsləhətləşmə xidmətlərinin hazırlanması və təqdim edilməsi</t>
  </si>
  <si>
    <t xml:space="preserve">2023
2024
2025
2026</t>
  </si>
  <si>
    <t>Nümunə Sosial Xidmətlər Nazirliyi, Lalə Qurumu, Çinar Komitəsi, Səbuhi Agentliyi</t>
  </si>
  <si>
    <t xml:space="preserve">Aran Agentliyi,
İnkişaf siyasəti şöbəsi </t>
  </si>
  <si>
    <t>15 qurumla əməkdaşlıq çərçivəsində görüşlər təşkil olunmuşdur</t>
  </si>
  <si>
    <t>6.1.8.</t>
  </si>
  <si>
    <t>Statistik məlumat bazasının hazırlanması və təqdim edilməsi</t>
  </si>
  <si>
    <t xml:space="preserve">Nümunə Sosial Xidmətlər Nazirliyi 
Lalə Qurumu, Çinar Komitəsi, Lamiə Nazirliyi, Vüsal Nazirliyi, yerli icra hakimiyyəti orqanları </t>
  </si>
  <si>
    <t xml:space="preserve">İnkişaf siyasəti şöbəsi
Aran Agentliyi</t>
  </si>
  <si>
    <t>5.2.1.6.</t>
  </si>
  <si>
    <t>İllik plana uyğun maarifləndirmə kampaniyalarının əhatə dairəsinin artırılması</t>
  </si>
  <si>
    <t>7.9.7.2.</t>
  </si>
  <si>
    <t>İllik plana uyğun müraciətlərin qəbulu prosesinin əhatə dairəsinin artırılması</t>
  </si>
  <si>
    <t>Regionlar üzrə hədəf qrupların təkmilləşdirilməsi</t>
  </si>
  <si>
    <t>Nümunə Sosial Xidmətlər Nazirliyi, Lalə Qurumu, Çinar Komitəsi, Lamiə Nazirliyi, Səbuhi Agentliyi, Cavid Birliyi, yerli icra hakimiyyəti orqanları</t>
  </si>
  <si>
    <t xml:space="preserve">Səbinə Agentliyi,
Layihələrin idarə olunması şöbəsi,
Koordinasiya şöbəsi</t>
  </si>
  <si>
    <t>7.9.5.2</t>
  </si>
  <si>
    <t>Regionlar üzrə əməkdaşlıq protokollarının təkmilləşdirilməsi</t>
  </si>
  <si>
    <t>İcma əsaslı proqramların genişləndirilməsi</t>
  </si>
  <si>
    <t xml:space="preserve">Nümunə Sosial Xidmətlər Nazirliyi, Lalə Qurumu, Çinar Komitəsi, Elçin Nazirliyi </t>
  </si>
  <si>
    <t xml:space="preserve">Səbinə Agentliyi,
Ceyhun Mərkəzi,  Rüfət Agentliyi</t>
  </si>
  <si>
    <t>Respublikada peşə hazırlığının təkmilləşdirilməsi üzrə 2019–2021-ci illər üçün Milli Fəaliyyət Planı</t>
  </si>
  <si>
    <t>3.8.2.4.</t>
  </si>
  <si>
    <t>Hədəf qrup üzrə icma əsaslı proqramların hazırlanması və təqdim edilməsi</t>
  </si>
  <si>
    <t>İnformasiya sisteminin təkmilləşdirilməsi</t>
  </si>
  <si>
    <t>2023-2024</t>
  </si>
  <si>
    <t>VP, Nümunə Sosial Xidmətlər Nazirliyi, KİYCR, HNRKC, aidiyyəti CLK-ləri cəlb etməklə</t>
  </si>
  <si>
    <t>İştirak edən qurumların sayı</t>
  </si>
  <si>
    <t>Hədəf qrup üzrə 15 tədbirin keçirilməsi</t>
  </si>
  <si>
    <t>9.1.9.2.</t>
  </si>
  <si>
    <t>İllik plana uyğun informasiya sisteminin təhlilinin aparılması</t>
  </si>
  <si>
    <t>Hədəf qrup üzrə 55 tədbirin keçirilməsi</t>
  </si>
  <si>
    <t>3.3.2.3.</t>
  </si>
  <si>
    <t>İnformasiya sisteminin təşkil edilməsi</t>
  </si>
  <si>
    <t>Hədəf qrup üzrə 12 tədbirin keçirilməsi</t>
  </si>
  <si>
    <t>Respublikada gender bərabərliyinin təmin olunması üzrə 2023–2027-ci illər üçün Dövlət Proqramı</t>
  </si>
  <si>
    <t>9.1.9.</t>
  </si>
  <si>
    <t>Vahidin dəyəri orta hesabla 1438 azn</t>
  </si>
  <si>
    <t>30 qurumla əməkdaşlıq çərçivəsində görüşlər təşkil olunmuşdur</t>
  </si>
  <si>
    <t>11 qurumla əməkdaşlıq çərçivəsində görüşlər təşkil olunmuşdur</t>
  </si>
  <si>
    <t>6.4.8.</t>
  </si>
  <si>
    <t>Əməkdaşlıq protokollarının tətbiq olunması</t>
  </si>
  <si>
    <t>5.6.2.</t>
  </si>
  <si>
    <t>Regionlar üzrə statistik məlumat bazasının genişləndirilməsi</t>
  </si>
  <si>
    <t>“Respublikada şəffaflığın və hesabatlılığın artırılması üzrə 2021–2025-ci illər üçün Strategiyanın həyata keçirilməsi üzrə Tədbirlər Planı”</t>
  </si>
  <si>
    <t>5.5.</t>
  </si>
  <si>
    <t>Regionlar üzrə metodoloji vəsaitlərin inkişaf etdirilməsi</t>
  </si>
  <si>
    <t>BH</t>
  </si>
  <si>
    <t>9 106 750,49</t>
  </si>
  <si>
    <t>Respublikada inklüziv mühitin yaradılması üzrə 2025–2030-ci illər üçün Konsepsiyanın icrası üzrə Fəaliyyət Planı</t>
  </si>
  <si>
    <t>8.5.7.</t>
  </si>
  <si>
    <t>İllik plana uyğun məsləhətləşmə xidmətlərinin gücləndirilməsi</t>
  </si>
  <si>
    <t>Respublikada yoxsulluğun azaldılması üzrə 2019–2022-ci illər üçün Tədbirlər Proqramı</t>
  </si>
  <si>
    <t>Pilot layihə çərçivəsində tədqiqat işlərinin inkişaf etdirilməsi</t>
  </si>
  <si>
    <t xml:space="preserve">Region əlaqələri şöbəsi,
İnsan resursları şöbəsi,
Koordinasiya şöbəsi,
Təşkilati inkişaf şöbəsi
Qanunvericilik təhlili şöbəsi,
Planlaşdırma və analiz 2 şöbəsi,
Daxili nəzarət şöbəsi, 
Gülşən Fondu, 
Orxan Xidməti, 
Ərgün Xidməti, 
Tahir Xidməti, 
Rüfət Agentliyi</t>
  </si>
  <si>
    <t>ÖŞŞÖG, TSP, ARUAN, ZCÖSÇ, LAÜT, ÇAUNF, BOV, ÖGÖM</t>
  </si>
  <si>
    <t>Hədəf qrup üzrə 14 tədbirin keçirilməsi</t>
  </si>
  <si>
    <t>Regionlar üzrə regional mərkəzlərin əhatə dairəsinin artırılması</t>
  </si>
  <si>
    <t xml:space="preserve">Region əlaqələri şöbəsi,
İnsan resursları şöbəsi,
Koordinasiya şöbəsi,
Təşkilati inkişaf şöbəsi
Qanunvericilik təhlili şöbəsi,
Planlaşdırma və analiz 2 şöbəsi,
Daxili nəzarət şöbəsi , 
Gülşən Fondu, 
Orxan Xidməti, 
Ərgün Xidməti, 
Tahir Xidməti,  
Rüfət Agentliyi</t>
  </si>
  <si>
    <t>“Respublikada sağlam həyat tərzinin təbliği üzrə 2022–2026-ci illər üçün Milli Fəaliyyət Planı”</t>
  </si>
  <si>
    <t>8.3.</t>
  </si>
  <si>
    <t>Pilot layihə çərçivəsində könüllü qrupların təkmilləşdirilməsi</t>
  </si>
  <si>
    <t>2023-2050</t>
  </si>
  <si>
    <t>TSP, DZMDA</t>
  </si>
  <si>
    <t>Hesabat dövründə 15 nəfər hədəf qrupdan tədbirlərə cəlb edilmişdir</t>
  </si>
  <si>
    <t>Respublikada məlumat təhlükəsizliyinin gücləndirilməsi üzrə 2025–2027-ci illər üçün Dövlət Proqramı</t>
  </si>
  <si>
    <t>8.25.1.4.</t>
  </si>
  <si>
    <t>Hədəf qrup üzrə könüllü qrupların təşkil edilməsi</t>
  </si>
  <si>
    <t>2.29.6.3.9.</t>
  </si>
  <si>
    <t>Könüllü qrupların davamlı olaraq həyata keçirilməsi</t>
  </si>
  <si>
    <t>2025-2027</t>
  </si>
  <si>
    <t>ZÖV AL, NICOL</t>
  </si>
  <si>
    <t>ZÖV NICOL, EKÇ, FTMAN, UEÇR, RIİƏB, BDCÇ, MVAI, DƏМХ, MVAI, ZÖƏŞO, ƏVH, ÖLKG, NMZ</t>
  </si>
  <si>
    <t>9.29.6.2.</t>
  </si>
  <si>
    <t>Pilot layihə çərçivəsində ailələrin genişləndirilməsi</t>
  </si>
  <si>
    <t>9.13.3.7.3.</t>
  </si>
  <si>
    <t>Monitorinq mexanizminin təkmilləşdirilməsi</t>
  </si>
  <si>
    <t>Hədəf qrup üzrə müraciətlərin qəbulu prosesinin inkişaf etdirilməsi</t>
  </si>
  <si>
    <t>ZÖV NICOL, SDCC, GS, NMZ, MVAI BS</t>
  </si>
  <si>
    <t>Respublikada vətəndaş müraciətlərinin səmərəli idarə olunması üzrə 2023–2027-ci illər üçün Strategiyanın həyata keçirilməsi üzrə Tədbirlər Planı</t>
  </si>
  <si>
    <t>Hədəf qrup üzrə hədəf qrupların tətbiq olunması</t>
  </si>
  <si>
    <t>2022─ 2026</t>
  </si>
  <si>
    <t>Lalə Qurumu, Pərvanə Mərkəzi, Nümunə Sosial Xidmətlər Nazirliyi, Murad Qurumu</t>
  </si>
  <si>
    <t>Strateji inkişaf şöbəsi, Nazirliyin strukturuna daxil olan və strukturuna daxil olmayan tabeli qurumlar</t>
  </si>
  <si>
    <t>ARUAN, ÖGÖM</t>
  </si>
  <si>
    <t>1.15.</t>
  </si>
  <si>
    <t>Pilot layihə çərçivəsində könüllü qrupların genişləndirilməsi</t>
  </si>
  <si>
    <t>Hədəf qrup üzrə müraciətlərin qəbulu prosesinin təhlilinin aparılması</t>
  </si>
  <si>
    <t>2024─ 2026</t>
  </si>
  <si>
    <t>Mərkəzi və yerli icra hakimiyyəti orqanları, Xanım Qurumu</t>
  </si>
  <si>
    <t>Hüquqi təminat 2 şöbəsi, Nazirliyin strukturuna daxil olan və strukturuna daxil olmayan tabeli qurumlar</t>
  </si>
  <si>
    <t>ÖGÖM</t>
  </si>
  <si>
    <t>2.7.</t>
  </si>
  <si>
    <t>Pilot layihə çərçivəsində maarifləndirmə kampaniyalarının təhlilinin aparılması</t>
  </si>
  <si>
    <t xml:space="preserve">Rəsul Nazirliyi, Aidiyyəti dövlət orqanları (qurumları) 
Ülkər Qurumu
Vaqif Palatası</t>
  </si>
  <si>
    <t>Koordinasiya 2 şöbəsi, Hüquqi təminat 2 şöbəsi, Sima Fondu,Ərgün Xidməti, Yalçın Agentliyi, Aran Agentliyi</t>
  </si>
  <si>
    <t>BH, ÖGÖM</t>
  </si>
  <si>
    <t>Xidmətin əlçatanlığının təmin olunması</t>
  </si>
  <si>
    <t>18 qurumla əməkdaşlıq çərçivəsində görüşlər təşkil olunmuşdur</t>
  </si>
  <si>
    <t>5.6.</t>
  </si>
  <si>
    <t>İllik plana uyğun gənclərin genişləndirilməsi</t>
  </si>
  <si>
    <t>Maarifləndirmə kampaniyalarının təhlilinin aparılması</t>
  </si>
  <si>
    <t>Zaur Agentliyi, aidiyyəti dövlət orqanları (qurumları)</t>
  </si>
  <si>
    <t>Xidmət standartları şöbəsi, Nazirliyin strukturuna daxil olan və strukturuna daxil olmayan tabeli qurumlar</t>
  </si>
  <si>
    <t>YYÇX, ÖGÖM</t>
  </si>
  <si>
    <t>6.3.</t>
  </si>
  <si>
    <t>İcma əsaslı proqramların əhatə dairəsinin artırılması</t>
  </si>
  <si>
    <t>Yaşlı vətəndaşların əhatə dairəsinin artırılması</t>
  </si>
  <si>
    <t>9.3.</t>
  </si>
  <si>
    <t>Maarifləndirmə kampaniyalarının inkişaf etdirilməsi</t>
  </si>
  <si>
    <t>Məsləhətləşmə xidmətlərinin təşkil edilməsi</t>
  </si>
  <si>
    <t xml:space="preserve">Qeyri-Hökumət Təşkilatlarına Dövlət Dəstəyi Agentliyi
Dövlət orqanları (qurumları) 
Ülkər Qurumu
Aysel Qurumu, Şəfəq 2 Qurumu</t>
  </si>
  <si>
    <t>Rəqəmsal transformasiya şöbəsi, Nazirliyin strukturuna daxil olan və strukturuna daxil olmayan tabeli qurumlar</t>
  </si>
  <si>
    <t>7.6.</t>
  </si>
  <si>
    <t>Regionlar üzrə monitorinq mexanizminin inkişaf etdirilməsi</t>
  </si>
  <si>
    <t>Pilot layihə çərçivəsində informasiya sisteminin hazırlanması və təqdim edilməsi</t>
  </si>
  <si>
    <t>Mərkəzi və yerli icra hakimiyyəti orqanları</t>
  </si>
  <si>
    <t>5.8.</t>
  </si>
  <si>
    <t>Pilot layihə çərçivəsində təlim modullarının davamlı olaraq həyata keçirilməsi</t>
  </si>
  <si>
    <t>Gənclərin tətbiq olunması</t>
  </si>
  <si>
    <t xml:space="preserve">Lalə Qurumu
Dövlət orqanları (qurumları) 
Ülkər Qurumu
Şəfəq 2 Qurumu, bələdiyyələrin milli assosiasiyaları</t>
  </si>
  <si>
    <t>Strateji inkişaf şöbəsi, Nazirliyin strukturuna daxil olan və strukturuna daxil olmayan tabeli qurumlar, Rəqəmsal transformasiya şöbəsi</t>
  </si>
  <si>
    <t>Hədəf qrup üzrə 21 tədbirin keçirilməsi</t>
  </si>
  <si>
    <t>22 iştirakçının əhatə olunduğu təlim sessiyaları keçirilmişdir</t>
  </si>
  <si>
    <t>3.9.</t>
  </si>
  <si>
    <t>Tədqiqat işlərinin tətbiq olunması</t>
  </si>
  <si>
    <t>7.29.</t>
  </si>
  <si>
    <t>Regionlar üzrə tədqiqat işlərinin təhlilinin aparılması</t>
  </si>
  <si>
    <t>Pilot layihə çərçivəsində sosial xidmətlərin davamlı olaraq həyata keçirilməsi</t>
  </si>
  <si>
    <t xml:space="preserve">Rəhim Nazirliyi 
Ülkər Qurumu
Nur 2 Agentliyi, Nümunə Sosial Xidmətlər Nazirliyi, digər aidiyyəti dövlət qurumları</t>
  </si>
  <si>
    <t>Maliyyə və təchizat şöbəsi, Nazirliyin strukturuna daxil olan və strukturuna daxil olmayan tabeli qurumlar</t>
  </si>
  <si>
    <t>HZÜ, ÖGÖM</t>
  </si>
  <si>
    <t>“Respublikada innovasiya mühitinin inkişafı üzrə 2023–2026-ci illər üçün Konsepsiyanın icrası üzrə Fəaliyyət Planı”</t>
  </si>
  <si>
    <t>7.14.</t>
  </si>
  <si>
    <t>İllik plana uyğun elektron platformanın əhatə dairəsinin artırılması</t>
  </si>
  <si>
    <t>Aran 2 Qurumu, Nümunə Sosial Xidmətlər nazirlikləri, Zirvə 2 Qurumu, Çinar Komitəsi, Səbuhi Agentliyi, Cavid Birliyi, Bəxtiyar Qurumu</t>
  </si>
  <si>
    <t>NMZ</t>
  </si>
  <si>
    <t>ÇAUNF, LAÜT, ÖŞŞÖG</t>
  </si>
  <si>
    <t>Hədəf qrup üzrə 34 tədbirin keçirilməsi</t>
  </si>
  <si>
    <t>Respublikada ictimai təhlükəsizliyin təmin edilməsi üzrə 2023–2027-ci illər üçün Tədbirlər Proqramı</t>
  </si>
  <si>
    <t>Hədəf qrup üzrə icma əsaslı proqramların genişləndirilməsi</t>
  </si>
  <si>
    <t>Hədəf qrup üzrə informasiya sisteminin əhatə dairəsinin artırılması</t>
  </si>
  <si>
    <t>2026-2028</t>
  </si>
  <si>
    <t>Nümunə Sosial Xidmətlər Nazirliyi, Lalə Qurumu, Çinar Komitəsi</t>
  </si>
  <si>
    <t xml:space="preserve">Mehr 2 Mərkəzi,
NMZ,
 ƏVH</t>
  </si>
  <si>
    <t>Məsləhətləşmə xidmətlərinin genişləndirilməsi</t>
  </si>
  <si>
    <t>Respublikada mədəni irsin qorunması üzrə 2025–2030-ci illər üçün Milli Fəaliyyət Planı</t>
  </si>
  <si>
    <t>Pilot layihə çərçivəsində sosial xidmətlərin inkişaf etdirilməsi</t>
  </si>
  <si>
    <t>il ərzində</t>
  </si>
  <si>
    <t>Aidiyyəti icraçı qurumlar</t>
  </si>
  <si>
    <t>YCMO, bütün qurumlar və struktur bölmələr</t>
  </si>
  <si>
    <t>FTMAN, bütün qurumlar və struktur bölmələr</t>
  </si>
  <si>
    <t>Qiymətləndirmə meyarlarının təkmilləşdirilməsi</t>
  </si>
  <si>
    <t xml:space="preserve">Qaya 2 Qurumu
Səma 2 Qurumu
Bəhər 2 Qurumu
Dəniz 2 Qurumu
Lalə 2 Qurumu
Çinar 2 Qurumu
Dövlət Komissiyası və digər aidiyyəti qurumlar</t>
  </si>
  <si>
    <t xml:space="preserve">FTMAN, XIŞBI, EKÇ, MKFÜD, NMZ, ƏVH </t>
  </si>
  <si>
    <t>Sosial xidmətlərin gücləndirilməsi</t>
  </si>
  <si>
    <t>ZÖV AL, digər aidiyyəti qurumlar</t>
  </si>
  <si>
    <t>ZÖV NICOL, YCMO, bütün qurumlar və struktur bölmələr</t>
  </si>
  <si>
    <t>“Respublikada kənd yerlərində xidmətlərin əlçatanlığı üzrə 2025–2027-ci illər üçün Dövlət Proqramı”</t>
  </si>
  <si>
    <t>7.9.5.6.</t>
  </si>
  <si>
    <t>İllik plana uyğun tədqiqat işlərinin təşkil edilməsi</t>
  </si>
  <si>
    <t>2026–2030</t>
  </si>
  <si>
    <t>Yaylaq 2 Qurumu, NICOL, RTÖ, ZHMTH, digər aidiyyəti dövlət orqanları (qurumları)</t>
  </si>
  <si>
    <t>MVAI UPGZ, NMZ</t>
  </si>
  <si>
    <t>37 qurumla əməkdaşlıq çərçivəsində görüşlər təşkil olunmuşdur</t>
  </si>
  <si>
    <t>Pilot layihə çərçivəsində müraciətlərin qəbulu prosesinin inkişaf etdirilməsi</t>
  </si>
  <si>
    <t>Müraciətlərin qəbulu prosesinin gücləndirilməsi</t>
  </si>
  <si>
    <t>Respublikada ailələrə dəstək proqramlarının genişləndirilməsi üzrə 2022–2025-ci illər üçün Strategiyanın həyata keçirilməsi üzrə Tədbirlər Planı</t>
  </si>
  <si>
    <t>5.8.10.</t>
  </si>
  <si>
    <t xml:space="preserve">Nümunə Sosial Xidmətlər Nazirliyi,Orxan Nazirliyi, Bəhər Nazirliyi,
Lalə Qurumu, Çinar Komitəsi,
Yasin Komitəsi, Aydın Xidməti, Yerli icra hakimiyyəti orqanları</t>
  </si>
  <si>
    <t>Maliyyə və təchizat şöbəsi, Aran Agentliyi</t>
  </si>
  <si>
    <t>ÖŞŞÖG,ÇAUNF</t>
  </si>
  <si>
    <t>İcra olunub</t>
  </si>
  <si>
    <t>Respublikada kadr potensialının gücləndirilməsi üzrə 2023–2025-ci illər üçün Konsepsiyanın icrası üzrə Fəaliyyət Planı</t>
  </si>
  <si>
    <t>7.3.</t>
  </si>
  <si>
    <t>İllik plana uyğun qiymətləndirmə meyarlarının təhlilinin aparılması</t>
  </si>
  <si>
    <t>Planlaşdırılan işlər üzrə 29 fəaliyyət həyata keçirilmişdir</t>
  </si>
  <si>
    <t>Yaşlı vətəndaşların gücləndirilməsi</t>
  </si>
  <si>
    <t xml:space="preserve">NMZ
MMMMM</t>
  </si>
  <si>
    <t>59 qurumla əməkdaşlıq çərçivəsində görüşlər təşkil olunmuşdur</t>
  </si>
  <si>
    <t>3.1.</t>
  </si>
  <si>
    <t>Regionlar üzrə müraciətlərin qəbulu prosesinin gücləndirilməsi</t>
  </si>
  <si>
    <t>Hədəf qrupların davamlı olaraq həyata keçirilməsi</t>
  </si>
  <si>
    <t>Hesabat dövründə 16 nəfər hədəf qrupdan tədbirlərə cəlb edilmişdir</t>
  </si>
  <si>
    <t>“Respublikada monitorinq və qiymətləndirmə sisteminin qurulması üzrə 2019–2024-ci illər üçün Tədbirlər Proqramı”</t>
  </si>
  <si>
    <t>Tədqiqat işlərinin təhlilinin aparılması</t>
  </si>
  <si>
    <t>Müraciətlərin qəbulu prosesinin tətbiq olunması</t>
  </si>
  <si>
    <t xml:space="preserve">MVAI, NƏCƏV, HPŞD, ÖLKG, MKFÜD, NMZ, ƏVH, RVÖÜ </t>
  </si>
  <si>
    <t>IKÜNR</t>
  </si>
  <si>
    <t>Planlaşdırılan işlər üzrə 26 fəaliyyət həyata keçirilmişdir</t>
  </si>
  <si>
    <t>Yaşlı vətəndaşların inkişaf etdirilməsi</t>
  </si>
  <si>
    <t>İllik plana uyğun təlim modullarının tətbiq olunması</t>
  </si>
  <si>
    <t>Nazirliyin Aparatının bütün struktur bölmələri, ÖLKG, MKFÜD, NMZ, ƏVH, MVAI, MVAI UPGZ, RVÖÜ</t>
  </si>
  <si>
    <t>Məsləhətləşmə xidmətlərinin gücləndirilməsi</t>
  </si>
  <si>
    <t>Nazirliyin Aparatının bütün struktur bölmələri, ÖLKG, MKFÜD, NMZ, ƏVH, MVAI,  MVAI UPGZ, RVÖÜ</t>
  </si>
  <si>
    <t>Elektron platformada 25 yeni məlumat təqdim edilmişdir</t>
  </si>
  <si>
    <t>Hədəf qrup üzrə informasiya sisteminin təkmilləşdirilməsi</t>
  </si>
  <si>
    <t xml:space="preserve">Nazirliyin Aparatının bütün struktur bölmələri, ÖLKG, MKFÜD, NMZ, ƏVH, MVAI,  MVAI UPGZ, RVÖÜ   </t>
  </si>
  <si>
    <t>21 iştirakçının əhatə olunduğu təlim sessiyaları keçirilmişdir</t>
  </si>
  <si>
    <t>50 qurumla əməkdaşlıq çərçivəsində görüşlər təşkil olunmuşdur</t>
  </si>
  <si>
    <t>Pilot layihə çərçivəsində regional mərkəzlərin hazırlanması və təqdim edilməsi</t>
  </si>
  <si>
    <t xml:space="preserve">Nazirliyin Aparatının bütün struktur bölmələri, ÖLKG, MKFÜD, NMZ, ƏVH, MVAI, RVÖÜ  </t>
  </si>
  <si>
    <t>3 qurumla əməkdaşlıq çərçivəsində görüşlər təşkil olunmuşdur</t>
  </si>
  <si>
    <t>Elektron platformada 29 yeni məlumat təqdim edilmişdir</t>
  </si>
  <si>
    <t xml:space="preserve">MVAI XVİ, NƏCƏV, ÖLKG, MKFÜD, NMZ, ƏVH, MVAI, RVÖÜ  </t>
  </si>
  <si>
    <t>Planlaşdırılan işlər üzrə 35 fəaliyyət həyata keçirilmişdir</t>
  </si>
  <si>
    <t>Hədəf qrup üzrə qiymətləndirmə meyarlarının hazırlanması və təqdim edilməsi</t>
  </si>
  <si>
    <t xml:space="preserve">NƏCƏV, MVAI XVİ </t>
  </si>
  <si>
    <t>Regionlar üzrə icma əsaslı proqramların inkişaf etdirilməsi</t>
  </si>
  <si>
    <t xml:space="preserve">NƏCƏV, PMÖ, ÖLKG, MKFÜD, NMZ, ƏVH, MVAI, RVÖÜ  </t>
  </si>
  <si>
    <t>53 iştirakçının əhatə olunduğu təlim sessiyaları keçirilmişdir</t>
  </si>
  <si>
    <t>İnformasiya sisteminin tətbiq olunması</t>
  </si>
  <si>
    <t>NƏCƏV, HPŞD, ÖLKG, MKFÜD, NMZ, ƏVH, MVAI, RVÖÜ</t>
  </si>
  <si>
    <t>Planlaşdırılan işlər üzrə 40 fəaliyyət həyata keçirilmişdir</t>
  </si>
  <si>
    <t>Planlaşdırılan işlər üzrə 51 fəaliyyət həyata keçirilmişdir</t>
  </si>
  <si>
    <t>Pilot layihə çərçivəsində elektron platformanın təşkil edilməsi</t>
  </si>
  <si>
    <t xml:space="preserve">Mütəmadi  </t>
  </si>
  <si>
    <t>HPŞD, NƏCƏV, ÖLKG, MKFÜD, NMZ, ƏVH, MVAI, RVÖÜ</t>
  </si>
  <si>
    <t>Hesabat dövründə 58 nəfər hədəf qrupdan tədbirlərə cəlb edilmişdir</t>
  </si>
  <si>
    <t>Pilot layihə çərçivəsində könüllü qrupların təşkil edilməsi</t>
  </si>
  <si>
    <t>Əməkdaşlıq protokollarının davamlı olaraq həyata keçirilməsi</t>
  </si>
  <si>
    <t>MKFÜD, HPŞD,EKÇ</t>
  </si>
  <si>
    <t>20 qurumla əməkdaşlıq çərçivəsində görüşlər təşkil olunmuşdur</t>
  </si>
  <si>
    <t>Regionlar üzrə informasiya sisteminin davamlı olaraq həyata keçirilməsi</t>
  </si>
  <si>
    <t>EKÇ, HPŞD, MX, MKFÜD</t>
  </si>
  <si>
    <t>Hədəf qrup üzrə məsləhətləşmə xidmətlərinin inkişaf etdirilməsi</t>
  </si>
  <si>
    <t>MKFÜD</t>
  </si>
  <si>
    <t>Regionlar üzrə müraciətlərin qəbulu prosesinin genişləndirilməsi</t>
  </si>
  <si>
    <t>MKFÜD, EKÇ</t>
  </si>
  <si>
    <t>Hədəf qrup üzrə metodoloji vəsaitlərin təhlilinin aparılması</t>
  </si>
  <si>
    <t>Regionlar üzrə ailələrin hazırlanması və təqdim edilməsi</t>
  </si>
  <si>
    <t>Alov 2 Mərkəzi</t>
  </si>
  <si>
    <t>Əməkdaşlıq protokollarının hazırlanması və təqdim edilməsi</t>
  </si>
  <si>
    <t xml:space="preserve">Mütəmadi </t>
  </si>
  <si>
    <t xml:space="preserve">MVAI ,MVAI XVİ,  ÖLKG, MKFÜD, NMZ, ƏVH, </t>
  </si>
  <si>
    <t>Planlaşdırılan işlər üzrə 39 fəaliyyət həyata keçirilmişdir</t>
  </si>
  <si>
    <t>İllik plana uyğun regional mərkəzlərin inkişaf etdirilməsi</t>
  </si>
  <si>
    <t>Hədəf qrup üzrə regional mərkəzlərin hazırlanması və təqdim edilməsi</t>
  </si>
  <si>
    <t>DÜİ,  ÖLKG, MKFÜD, NMZ, ƏVH, MVAI,  MVAI UPGZ, RVÖÜ</t>
  </si>
  <si>
    <t>İllik plana uyğun könüllü qrupların təhlilinin aparılması</t>
  </si>
  <si>
    <t>MVAI XVİ,  DÜİ, ÖLKG, MKFÜD, NMZ, ƏVH, MVAI,  MVAI UPGZ, RVÖÜ, VÜ</t>
  </si>
  <si>
    <t>ÖLKG, MKFÜD, NMZ, ƏVH, MVAI,  MVAI UPGZ,  DÜİ</t>
  </si>
  <si>
    <t>Pilot layihə çərçivəsində yaşlı vətəndaşların inkişaf etdirilməsi</t>
  </si>
  <si>
    <t>MVAI XVİ,  ÖLKG, MKFÜD, NMZ, ƏVH, MVAI,  MVAI UPGZ, NƏCƏV</t>
  </si>
  <si>
    <t>İllik plana uyğun informasiya sisteminin inkişaf etdirilməsi</t>
  </si>
  <si>
    <t>MVAI XVİ,  ÖLKG, MKFÜD, NMZ, ƏVH, MVAI, MVAI UPGZ</t>
  </si>
  <si>
    <t xml:space="preserve">MVAI, DÜİ, ÖLKG, MKFÜD, NMZ, ƏVH, </t>
  </si>
  <si>
    <t>İllik plana uyğun hədəf qrupların tətbiq olunması</t>
  </si>
  <si>
    <t>Nazirliyin Aparatının bütün struktur bölmələri, Nazirlik sisteminə daxil olan qurumlar, DÜİ</t>
  </si>
  <si>
    <t>Təlim modullarının inkişaf etdirilməsi</t>
  </si>
  <si>
    <t>Hədəf qrup üzrə hədəf qrupların davamlı olaraq həyata keçirilməsi</t>
  </si>
  <si>
    <t>MVAI XVİ, MVAI, ÖLKG, MKFÜD, NMZ, ƏVH,  Nazirliyin Aparatının bütün struktur bölmələri</t>
  </si>
  <si>
    <t>NƏCƏV, ÖLKG, MKFÜD, NMZ, ƏVH, MVAI, RVÖÜ</t>
  </si>
  <si>
    <t>Hesabat dövründə 31 nəfər hədəf qrupdan tədbirlərə cəlb edilmişdir</t>
  </si>
  <si>
    <t>Könüllü qrupların tətbiq olunması</t>
  </si>
  <si>
    <t>OUVZD, VÜ, ÖLKG, MKFÜD, NMZ, ƏVH, MVAI,  MVAI UPGZ, RVÖÜ</t>
  </si>
  <si>
    <t>IKÜNR, ARUAN</t>
  </si>
  <si>
    <t>Regionlar üzrə statistik məlumat bazasının təşkil edilməsi</t>
  </si>
  <si>
    <t xml:space="preserve">VÜ,  OUVZD, ÖLKG, MKFÜD, NMZ, ƏVH, MVAI,  MVAI UPGZ, RVÖÜ  </t>
  </si>
  <si>
    <t>Hədəf qrup üzrə 51 tədbirin keçirilməsi</t>
  </si>
  <si>
    <t>Elektron platformada 39 yeni məlumat təqdim edilmişdir</t>
  </si>
  <si>
    <t>Gənclərin təşkil edilməsi</t>
  </si>
  <si>
    <t xml:space="preserve">VÜ,  OUVZD, ÖLKG, MKFÜD, NMZ, ƏVH, MVAI,  MVAI UPGZ, RVÖÜ </t>
  </si>
  <si>
    <t>Hədəf qrup üzrə 4 tədbirin keçirilməsi</t>
  </si>
  <si>
    <t>Respublikada maarifləndirmə fəaliyyətinin təşkili üzrə 2020–2021-ci illər üçün Milli Fəaliyyət Planı</t>
  </si>
  <si>
    <t>Pilot layihə çərçivəsində qiymətləndirmə meyarlarının təkmilləşdirilməsi</t>
  </si>
  <si>
    <t>Ailələrin tətbiq olunması</t>
  </si>
  <si>
    <t>DÜİ, NMZ, MMMMM</t>
  </si>
  <si>
    <t>Planlaşdırılan işlər üzrə 58 fəaliyyət həyata keçirilmişdir</t>
  </si>
  <si>
    <t>Yaşlı vətəndaşların təşkil edilməsi</t>
  </si>
  <si>
    <t>NMZ, DÜİ, MMMMM</t>
  </si>
  <si>
    <t>YYÇX</t>
  </si>
  <si>
    <t>31 iştirakçının əhatə olunduğu təlim sessiyaları keçirilmişdir</t>
  </si>
  <si>
    <t>İllik plana uyğun sosial xidmətlərin tətbiq olunması</t>
  </si>
  <si>
    <t>NMZ, DÜİ,MMMMM</t>
  </si>
  <si>
    <t>İllik plana uyğun təlim modullarının genişləndirilməsi</t>
  </si>
  <si>
    <t>Ailələrin əhatə dairəsinin artırılması</t>
  </si>
  <si>
    <t>Elektron platformanın gücləndirilməsi</t>
  </si>
  <si>
    <t>Pilot layihə çərçivəsində maarifləndirmə kampaniyalarının əhatə dairəsinin artırılması</t>
  </si>
  <si>
    <t>Mart-aprel</t>
  </si>
  <si>
    <t>Sahil 2 Mərkəzi, MVAI XVİ, NMZ, MMMMM</t>
  </si>
  <si>
    <t>Yaşlı vətəndaşların tətbiq olunması</t>
  </si>
  <si>
    <t>Maarifləndirmə kampaniyalarının genişləndirilməsi</t>
  </si>
  <si>
    <t>Mart-iyun</t>
  </si>
  <si>
    <t>NMZ, MMMMM</t>
  </si>
  <si>
    <t>Regionlar üzrə müraciətlərin qəbulu prosesinin davamlı olaraq həyata keçirilməsi</t>
  </si>
  <si>
    <t>Avqust-sentyabr</t>
  </si>
  <si>
    <t>İllik plana uyğun regional mərkəzlərin genişləndirilməsi</t>
  </si>
  <si>
    <t>İyun-avqust</t>
  </si>
  <si>
    <t>Regionlar üzrə yaşlı vətəndaşların təhlilinin aparılması</t>
  </si>
  <si>
    <t>Mart-dekabr</t>
  </si>
  <si>
    <t>Hədəf qrup üzrə yaşlı vətəndaşların inkişaf etdirilməsi</t>
  </si>
  <si>
    <t>Aprel</t>
  </si>
  <si>
    <t>İllik plana uyğun icma əsaslı proqramların gücləndirilməsi</t>
  </si>
  <si>
    <t xml:space="preserve">May-avqust </t>
  </si>
  <si>
    <t>May</t>
  </si>
  <si>
    <t>MVAI XVİ, NMZ, MMMMM</t>
  </si>
  <si>
    <t>Tədqiqat işlərinin genişləndirilməsi</t>
  </si>
  <si>
    <t>Maarifləndirmə kampaniyalarının təşkil edilməsi</t>
  </si>
  <si>
    <t xml:space="preserve">NMZ, DÜİ, MMMMM
</t>
  </si>
  <si>
    <t>Hədəf qrup üzrə tədqiqat işlərinin davamlı olaraq həyata keçirilməsi</t>
  </si>
  <si>
    <t xml:space="preserve">
NMZ, DÜİ, MMMMM
</t>
  </si>
  <si>
    <t>Pilot layihə çərçivəsində informasiya sisteminin tətbiq olunması</t>
  </si>
  <si>
    <t>Aprel-may</t>
  </si>
  <si>
    <t>Respublikada sosial müəssisələrin müasirləşdirilməsi üzrə 2022–2026-ci illər üçün Dövlət Proqramı</t>
  </si>
  <si>
    <t>Regionlar üzrə sosial xidmətlərin genişləndirilməsi</t>
  </si>
  <si>
    <t>yanvar- 31 mart</t>
  </si>
  <si>
    <t>Sosial xidmətlərin hazırlanması və təqdim edilməsi</t>
  </si>
  <si>
    <t>“Respublikada qlobal tərəfdaşlıqların genişləndirilməsi üzrə 2026–2029-ci illər üçün Strategiyanın həyata keçirilməsi üzrə Tədbirlər Planı”</t>
  </si>
  <si>
    <t xml:space="preserve">9.9.1     </t>
  </si>
  <si>
    <t>Monitorinq mexanizminin genişləndirilməsi</t>
  </si>
  <si>
    <t>NMZ ƏVH, FTMAN, MKFÜD, EKÇ, Meydan 2 Agentliyi</t>
  </si>
  <si>
    <t xml:space="preserve">5.6.6     </t>
  </si>
  <si>
    <t>Pilot layihə çərçivəsində monitorinq mexanizminin hazırlanması və təqdim edilməsi</t>
  </si>
  <si>
    <t>İcma əsaslı proqramların təşkil edilməsi</t>
  </si>
  <si>
    <t>ÇEOK MKFÜD, NMZ</t>
  </si>
  <si>
    <t>ÖŞŞÖG</t>
  </si>
  <si>
    <t xml:space="preserve">2.1.9     </t>
  </si>
  <si>
    <t>Regionlar üzrə könüllü qrupların təhlilinin aparılması</t>
  </si>
  <si>
    <t>MKFÜD NMZ, ÇEOK</t>
  </si>
  <si>
    <t>İllik plana uyğun statistik məlumat bazasının gücləndirilməsi</t>
  </si>
  <si>
    <t>Regionlar üzrə yaşlı vətəndaşların hazırlanması və təqdim edilməsi</t>
  </si>
  <si>
    <t>Regionlar üzrə elektron platformanın təhlilinin aparılması</t>
  </si>
  <si>
    <t>NMZ MKFÜD, ÇEOK</t>
  </si>
  <si>
    <t xml:space="preserve">8.6.2     </t>
  </si>
  <si>
    <t>Gənclərin təhlilinin aparılması</t>
  </si>
  <si>
    <t>Hədəf qrup üzrə sosial xidmətlərin gücləndirilməsi</t>
  </si>
  <si>
    <t xml:space="preserve">9.1.9     </t>
  </si>
  <si>
    <t>Könüllü qrupların inkişaf etdirilməsi</t>
  </si>
  <si>
    <t>Regionlar üzrə qiymətləndirmə meyarlarının hazırlanması və təqdim edilməsi</t>
  </si>
  <si>
    <t xml:space="preserve">1.6.6     </t>
  </si>
  <si>
    <t>Regionlar üzrə hədəf qrupların hazırlanması və təqdim edilməsi</t>
  </si>
  <si>
    <t>Pilot layihə çərçivəsində hədəf qrupların əhatə dairəsinin artırılması</t>
  </si>
  <si>
    <t>MKFÜD ÇEOK</t>
  </si>
  <si>
    <t xml:space="preserve">5.2.4     </t>
  </si>
  <si>
    <t>Əməkdaşlıq protokollarının təkmilləşdirilməsi</t>
  </si>
  <si>
    <t>Pilot layihə çərçivəsində monitorinq mexanizminin tətbiq olunması</t>
  </si>
  <si>
    <t>5 qurumla əməkdaşlıq çərçivəsində görüşlər təşkil olunmuşdur</t>
  </si>
  <si>
    <t>Pilot layihə çərçivəsində gənclərin hazırlanması və təqdim edilməsi</t>
  </si>
  <si>
    <t xml:space="preserve">2.4.8     </t>
  </si>
  <si>
    <t>Müraciətlərin qəbulu prosesinin inkişaf etdirilməsi</t>
  </si>
  <si>
    <t>NMZ MMMMM</t>
  </si>
  <si>
    <t>42 qurumla əməkdaşlıq çərçivəsində görüşlər təşkil olunmuşdur</t>
  </si>
  <si>
    <t xml:space="preserve">2.5.9     </t>
  </si>
  <si>
    <t>İllik plana uyğun regional mərkəzlərin gücləndirilməsi</t>
  </si>
  <si>
    <t>Hədəf qrup üzrə sosial xidmətlərin təşkil edilməsi</t>
  </si>
  <si>
    <t>39 qurumla əməkdaşlıq çərçivəsində görüşlər təşkil olunmuşdur</t>
  </si>
  <si>
    <t xml:space="preserve">4.2.6     </t>
  </si>
  <si>
    <t>Monitorinq mexanizminin təşkil edilməsi</t>
  </si>
  <si>
    <t>Qiymətləndirmə meyarlarının davamlı olaraq həyata keçirilməsi</t>
  </si>
  <si>
    <t>MMMMM NMZ, DÜİ</t>
  </si>
  <si>
    <t>33 iştirakçının əhatə olunduğu təlim sessiyaları keçirilmişdir</t>
  </si>
  <si>
    <t xml:space="preserve">9.3.5     </t>
  </si>
  <si>
    <t>Hədəf qrup üzrə müraciətlərin qəbulu prosesinin təşkil edilməsi</t>
  </si>
  <si>
    <t>55 qurumla əməkdaşlıq çərçivəsində görüşlər təşkil olunmuşdur</t>
  </si>
  <si>
    <t xml:space="preserve">5.2.8     </t>
  </si>
  <si>
    <t>Sosial xidmətlərin təhlilinin aparılması</t>
  </si>
  <si>
    <t>İllik plana uyğun sosial xidmətlərin gücləndirilməsi</t>
  </si>
  <si>
    <t>MMMMM DÜİ, NMZ</t>
  </si>
  <si>
    <t xml:space="preserve">2.4.1     </t>
  </si>
  <si>
    <t>Hədəf qrupların əhatə dairəsinin artırılması</t>
  </si>
  <si>
    <t>Könüllü qrupların hazırlanması və təqdim edilməsi</t>
  </si>
  <si>
    <t>NMZ MVAI XVİ</t>
  </si>
  <si>
    <t>Planlaşdırılan işlər üzrə 3 fəaliyyət həyata keçirilmişdir</t>
  </si>
  <si>
    <t>25 qurumla əməkdaşlıq çərçivəsində görüşlər təşkil olunmuşdur</t>
  </si>
  <si>
    <t xml:space="preserve">5.2.2     </t>
  </si>
  <si>
    <t>İllik plana uyğun yaşlı vətəndaşların hazırlanması və təqdim edilməsi</t>
  </si>
  <si>
    <t>İcma əsaslı proqramların təhlilinin aparılması</t>
  </si>
  <si>
    <t>NMZ MKFÜD</t>
  </si>
  <si>
    <t>NMZ MVAI XVİ, MKFÜD</t>
  </si>
  <si>
    <t xml:space="preserve">NMZ </t>
  </si>
  <si>
    <t xml:space="preserve">6.8.8     </t>
  </si>
  <si>
    <t>Regionlar üzrə maarifləndirmə kampaniyalarının əhatə dairəsinin artırılması</t>
  </si>
  <si>
    <t>Regionlar üzrə təlim modullarının tətbiq olunması</t>
  </si>
  <si>
    <t>NMZ GS</t>
  </si>
  <si>
    <t>Hesabat dövründə 40 nəfər hədəf qrupdan tədbirlərə cəlb edilmişdir</t>
  </si>
  <si>
    <t xml:space="preserve">2.8.1     </t>
  </si>
  <si>
    <t>NMZ ÖLKG</t>
  </si>
  <si>
    <t xml:space="preserve">5.6.1     </t>
  </si>
  <si>
    <t>İllik plana uyğun hədəf qrupların əhatə dairəsinin artırılması</t>
  </si>
  <si>
    <t>Pilot layihə çərçivəsində metodoloji vəsaitlərin hazırlanması və təqdim edilməsi</t>
  </si>
  <si>
    <t>Hesabat dövründə 38 nəfər hədəf qrupdan tədbirlərə cəlb edilmişdir</t>
  </si>
  <si>
    <t xml:space="preserve">6.2.5     </t>
  </si>
  <si>
    <t>Hədəf qrup üzrə təlim modullarının təşkil edilməsi</t>
  </si>
  <si>
    <t>Regional mərkəzlərin inkişaf etdirilməsi</t>
  </si>
  <si>
    <t>NMZ -</t>
  </si>
  <si>
    <t xml:space="preserve">BOV, LAÜT </t>
  </si>
  <si>
    <t xml:space="preserve">3.1.4     </t>
  </si>
  <si>
    <t>İllik plana uyğun məsləhətləşmə xidmətlərinin təşkil edilməsi</t>
  </si>
  <si>
    <t>SDCC MX, MVAI XVİ, ÖLKG, NMZ</t>
  </si>
  <si>
    <t>ÖŞŞÖG, MX</t>
  </si>
  <si>
    <t>Elektron platformada 45 yeni məlumat təqdim edilmişdir</t>
  </si>
  <si>
    <t>Pilot layihə çərçivəsində gənclərin təşkil edilməsi</t>
  </si>
  <si>
    <t xml:space="preserve">7.7.8     </t>
  </si>
  <si>
    <t>Regionlar üzrə maarifləndirmə kampaniyalarının tətbiq olunması</t>
  </si>
  <si>
    <t>SDCC  NMZ, OII, ƏVH, ÖLKG</t>
  </si>
  <si>
    <t>Regionlar üzrə hədəf qrupların tətbiq olunması</t>
  </si>
  <si>
    <t>Planlaşdırılan işlər üzrə 53 fəaliyyət həyata keçirilmişdir</t>
  </si>
  <si>
    <t>Maarifləndirmə kampaniyalarının tətbiq olunması</t>
  </si>
  <si>
    <t>18 iştirakçının əhatə olunduğu təlim sessiyaları keçirilmişdir</t>
  </si>
  <si>
    <t xml:space="preserve">7.2.5     </t>
  </si>
  <si>
    <t>İllik plana uyğun ailələrin genişləndirilməsi</t>
  </si>
  <si>
    <t>NMZ MVAI BS</t>
  </si>
  <si>
    <t>Hədəf qrup üzrə gənclərin genişləndirilməsi</t>
  </si>
  <si>
    <t>Hədəf qrup üzrə 29 tədbirin keçirilməsi</t>
  </si>
  <si>
    <t>Elektron platformada 22 yeni məlumat təqdim edilmişdir</t>
  </si>
  <si>
    <t>Qiymətləndirmə meyarlarının təhlilinin aparılması</t>
  </si>
  <si>
    <t>Gənclərin əhatə dairəsinin artırılması</t>
  </si>
  <si>
    <t>Planlaşdırılan işlər üzrə 11 fəaliyyət həyata keçirilmişdir</t>
  </si>
  <si>
    <t>Qiymətləndirmə meyarlarının hazırlanması və təqdim edilməsi</t>
  </si>
  <si>
    <t xml:space="preserve">8.8.4     </t>
  </si>
  <si>
    <t>Regionlar üzrə müraciətlərin qəbulu prosesinin təkmilləşdirilməsi</t>
  </si>
  <si>
    <t>Hədəf qrup üzrə əməkdaşlıq protokollarının təkmilləşdirilməsi</t>
  </si>
  <si>
    <t xml:space="preserve">NMZ MVAI BS </t>
  </si>
  <si>
    <t>Elektron platformada 31 yeni məlumat təqdim edilmişdir</t>
  </si>
  <si>
    <t xml:space="preserve">3.2.3     </t>
  </si>
  <si>
    <t>Hədəf qrupların təhlilinin aparılması</t>
  </si>
  <si>
    <t xml:space="preserve">NMZ MVAI XVİ </t>
  </si>
  <si>
    <t>Hədəf qrup üzrə 18 tədbirin keçirilməsi</t>
  </si>
  <si>
    <t>Hədəf qrup üzrə 23 tədbirin keçirilməsi</t>
  </si>
  <si>
    <t>Hesabat dövründə 50 nəfər hədəf qrupdan tədbirlərə cəlb edilmişdir</t>
  </si>
  <si>
    <t>Hədəf qrup üzrə elektron platformanın hazırlanması və təqdim edilməsi</t>
  </si>
  <si>
    <t>Hədəf qrup üzrə 27 tədbirin keçirilməsi</t>
  </si>
  <si>
    <t>54 iştirakçının əhatə olunduğu təlim sessiyaları keçirilmişdir</t>
  </si>
  <si>
    <t>8 qurumla əməkdaşlıq çərçivəsində görüşlər təşkil olunmuşdur</t>
  </si>
  <si>
    <t xml:space="preserve">4.5.5     </t>
  </si>
  <si>
    <t>Elektron platformanın təkmilləşdirilməsi</t>
  </si>
  <si>
    <t>Hədəf qrup üzrə hədəf qrupların təkmilləşdirilməsi</t>
  </si>
  <si>
    <t xml:space="preserve">4.9.9     </t>
  </si>
  <si>
    <t>Pilot layihə çərçivəsində elektron platformanın hazırlanması və təqdim edilməsi</t>
  </si>
  <si>
    <t xml:space="preserve">7.5.1     </t>
  </si>
  <si>
    <t>Pilot layihə çərçivəsində metodoloji vəsaitlərin əhatə dairəsinin artırılması</t>
  </si>
  <si>
    <t>Regionlar üzrə icma əsaslı proqramların davamlı olaraq həyata keçirilməsi</t>
  </si>
  <si>
    <t xml:space="preserve">1.6.1     </t>
  </si>
  <si>
    <t>Pilot layihə çərçivəsində gənclərin təkmilləşdirilməsi</t>
  </si>
  <si>
    <t>Pilot layihə çərçivəsində informasiya sisteminin əhatə dairəsinin artırılması</t>
  </si>
  <si>
    <t>İllik plana uyğun gənclərin əhatə dairəsinin artırılması</t>
  </si>
  <si>
    <t>MVAI XVİ NMZ</t>
  </si>
  <si>
    <t>Regional mərkəzlərin əhatə dairəsinin artırılması</t>
  </si>
  <si>
    <t xml:space="preserve"> </t>
  </si>
  <si>
    <t>Təlim modullarının əhatə dairəsinin artırılması</t>
  </si>
  <si>
    <t xml:space="preserve">4.6.4     </t>
  </si>
  <si>
    <t>İllik plana uyğun əməkdaşlıq protokollarının təhlilinin aparılması</t>
  </si>
  <si>
    <t>Tədqiqat işlərinin hazırlanması və təqdim edilməsi</t>
  </si>
  <si>
    <t>NMZ SDCC</t>
  </si>
  <si>
    <t xml:space="preserve">3.7.8     </t>
  </si>
  <si>
    <t>Elektron platformanın hazırlanması və təqdim edilməsi</t>
  </si>
  <si>
    <t>NMZ MVAI XVİ, Nazirliyin aidiyyəti qurumları</t>
  </si>
  <si>
    <t xml:space="preserve">4.1.4     </t>
  </si>
  <si>
    <t>Tədqiqat işlərinin inkişaf etdirilməsi</t>
  </si>
  <si>
    <t>NMZ MKFÜD, SDCC</t>
  </si>
  <si>
    <t>Hesabat dövründə 59 nəfər hədəf qrupdan tədbirlərə cəlb edilmişdir</t>
  </si>
  <si>
    <t xml:space="preserve">9.8.8     </t>
  </si>
  <si>
    <t>İllik plana uyğun müraciətlərin qəbulu prosesinin təşkil edilməsi</t>
  </si>
  <si>
    <t>İllik plana uyğun monitorinq mexanizminin inkişaf etdirilməsi</t>
  </si>
  <si>
    <t>38 iştirakçının əhatə olunduğu təlim sessiyaları keçirilmişdir</t>
  </si>
  <si>
    <t xml:space="preserve">9.4.1     </t>
  </si>
  <si>
    <t>Planlaşdırılan işlər üzrə 60 fəaliyyət həyata keçirilmişdir</t>
  </si>
  <si>
    <t>Hesabat dövründə 12 nəfər hədəf qrupdan tədbirlərə cəlb edilmişdir</t>
  </si>
  <si>
    <t xml:space="preserve">3.4.1     </t>
  </si>
  <si>
    <t>NMZ MX, SDCC</t>
  </si>
  <si>
    <t>51 qurumla əməkdaşlıq çərçivəsində görüşlər təşkil olunmuşdur</t>
  </si>
  <si>
    <t xml:space="preserve">1.5.9     </t>
  </si>
  <si>
    <t>Hədəf qrup üzrə sosial xidmətlərin təkmilləşdirilməsi</t>
  </si>
  <si>
    <t>Hədəf qrup üzrə regional mərkəzlərin gücləndirilməsi</t>
  </si>
  <si>
    <t>NMZ SDCC, YCMO, MX</t>
  </si>
  <si>
    <t>Pilot layihə çərçivəsində müraciətlərin qəbulu prosesinin davamlı olaraq həyata keçirilməsi</t>
  </si>
  <si>
    <t>NMZ SDCC, YCMO</t>
  </si>
  <si>
    <t>Hədəf qrup üzrə maarifləndirmə kampaniyalarının təhlilinin aparılması</t>
  </si>
  <si>
    <t xml:space="preserve">6.3.6     </t>
  </si>
  <si>
    <t>Pilot layihə çərçivəsində elektron platformanın davamlı olaraq həyata keçirilməsi</t>
  </si>
  <si>
    <t>Qiymətləndirmə meyarlarının gücləndirilməsi</t>
  </si>
  <si>
    <t xml:space="preserve">5.9.8     </t>
  </si>
  <si>
    <t>Pilot layihə çərçivəsində tədqiqat işlərinin davamlı olaraq həyata keçirilməsi</t>
  </si>
  <si>
    <t>NMZ YCMO, MVAI XVİ, Nazirliyin aidiyyəti qurumları</t>
  </si>
  <si>
    <t xml:space="preserve">6.5.17  </t>
  </si>
  <si>
    <t>Maarifləndirmə kampaniyalarının hazırlanması və təqdim edilməsi</t>
  </si>
  <si>
    <t>NMZ YCMO, MVAI XVİ</t>
  </si>
  <si>
    <t>İllik plana uyğun müraciətlərin qəbulu prosesinin hazırlanması və təqdim edilməsi</t>
  </si>
  <si>
    <t>NMZ VÜ</t>
  </si>
  <si>
    <t xml:space="preserve">2.4.6     </t>
  </si>
  <si>
    <t>45 qurumla əməkdaşlıq çərçivəsində görüşlər təşkil olunmuşdur</t>
  </si>
  <si>
    <t>Hesabat dövründə 41 nəfər hədəf qrupdan tədbirlərə cəlb edilmişdir</t>
  </si>
  <si>
    <t xml:space="preserve">6.3.1     </t>
  </si>
  <si>
    <t>Regionlar üzrə informasiya sisteminin təkmilləşdirilməsi</t>
  </si>
  <si>
    <t>Pilot layihə çərçivəsində informasiya sisteminin davamlı olaraq həyata keçirilməsi</t>
  </si>
  <si>
    <t>Hesabat dövründə 19 nəfər hədəf qrupdan tədbirlərə cəlb edilmişdir</t>
  </si>
  <si>
    <t xml:space="preserve">8.9.6    </t>
  </si>
  <si>
    <t>Yaşlı vətəndaşların davamlı olaraq həyata keçirilməsi</t>
  </si>
  <si>
    <t>MVAI Agentliyi Nazirliyin aidiyyəti struktur bölmələri və qurumları</t>
  </si>
  <si>
    <t>İllik plana uyğun monitorinq mexanizminin hazırlanması və təqdim edilməsi</t>
  </si>
  <si>
    <t>Orxan 2 Agentliyi, NMZ</t>
  </si>
  <si>
    <t>Hədəf qrup üzrə təlim modullarının əhatə dairəsinin artırılması</t>
  </si>
  <si>
    <t xml:space="preserve">1.4.4     </t>
  </si>
  <si>
    <t>Gənclərin davamlı olaraq həyata keçirilməsi</t>
  </si>
  <si>
    <t>DÜİ Nazirliyin aidiyyəti struktur bölmələri və qurumları</t>
  </si>
  <si>
    <t xml:space="preserve">5.1.5     </t>
  </si>
  <si>
    <t>İllik plana uyğun informasiya sisteminin əhatə dairəsinin artırılması</t>
  </si>
  <si>
    <t>DÜİ Nazirliyin aidiyyəti qurumları</t>
  </si>
  <si>
    <t xml:space="preserve">6.3.9     </t>
  </si>
  <si>
    <t>İllik plana uyğun könüllü qrupların davamlı olaraq həyata keçirilməsi</t>
  </si>
  <si>
    <t>Pilot layihə çərçivəsində ailələrin davamlı olaraq həyata keçirilməsi</t>
  </si>
  <si>
    <t>HZÜ Nazirliyin aidiyyəti qurumları</t>
  </si>
  <si>
    <t>HZÜ</t>
  </si>
  <si>
    <t>38 qurumla əməkdaşlıq çərçivəsində görüşlər təşkil olunmuşdur</t>
  </si>
  <si>
    <t>Planlaşdırılan işlər üzrə 36 fəaliyyət həyata keçirilmişdir</t>
  </si>
  <si>
    <t>Hədəf qrup üzrə ailələrin davamlı olaraq həyata keçirilməsi</t>
  </si>
  <si>
    <t>HZÜ Nazirliyin aidiyyəti struktur bölmələri, MX</t>
  </si>
  <si>
    <t xml:space="preserve">5.9.4     </t>
  </si>
  <si>
    <t>Pilot layihə çərçivəsində əməkdaşlıq protokollarının təkmilləşdirilməsi</t>
  </si>
  <si>
    <t>Hədəf qrup üzrə maarifləndirmə kampaniyalarının genişləndirilməsi</t>
  </si>
  <si>
    <t>HPŞD Nazirliyin bütün qurumları</t>
  </si>
  <si>
    <t xml:space="preserve">5.8.1     </t>
  </si>
  <si>
    <t>Pilot layihə çərçivəsində sosial xidmətlərin təşkil edilməsi</t>
  </si>
  <si>
    <t>HPŞD Nazirliyin aidiyyəti struktur bölmələri və qurumları</t>
  </si>
  <si>
    <t xml:space="preserve">4.4.8     </t>
  </si>
  <si>
    <t>YCMO Nazirliyin aidiyyəti struktur bölmələri və qurumları</t>
  </si>
  <si>
    <t xml:space="preserve">6.4.5     </t>
  </si>
  <si>
    <t>Hədəf qrup üzrə gənclərin əhatə dairəsinin artırılması</t>
  </si>
  <si>
    <t>İllik plana uyğun məsləhətləşmə xidmətlərinin təhlilinin aparılması</t>
  </si>
  <si>
    <t>OUVZD Nazirliyin bütün qurumları</t>
  </si>
  <si>
    <t xml:space="preserve">6.9.8     </t>
  </si>
  <si>
    <t>Pilot layihə çərçivəsində statistik məlumat bazasının təhlilinin aparılması</t>
  </si>
  <si>
    <t>OUVZD MVAI XVİ</t>
  </si>
  <si>
    <t xml:space="preserve">4.8.5     </t>
  </si>
  <si>
    <t>Regionlar üzrə informasiya sisteminin genişləndirilməsi</t>
  </si>
  <si>
    <t>OUVZD MVAI XVİ, Nazirliyin bütün qurumları</t>
  </si>
  <si>
    <t xml:space="preserve">2.9.5     </t>
  </si>
  <si>
    <t>Regionlar üzrə qiymətləndirmə meyarlarının inkişaf etdirilməsi</t>
  </si>
  <si>
    <t>OUVZD VÜ, Nazirliyin bütün qurumları</t>
  </si>
  <si>
    <t xml:space="preserve">6.1.3     </t>
  </si>
  <si>
    <t>Monitorinq mexanizminin tətbiq olunması</t>
  </si>
  <si>
    <t xml:space="preserve">7.4.1     </t>
  </si>
  <si>
    <t>Pilot layihə çərçivəsində ailələrin gücləndirilməsi</t>
  </si>
  <si>
    <t xml:space="preserve">3.7.2     </t>
  </si>
  <si>
    <t>Pilot layihə çərçivəsində yaşlı vətəndaşların təkmilləşdirilməsi</t>
  </si>
  <si>
    <t xml:space="preserve">8.1.8     </t>
  </si>
  <si>
    <t>Regionlar üzrə məsləhətləşmə xidmətlərinin əhatə dairəsinin artırılması</t>
  </si>
  <si>
    <t xml:space="preserve">5.8.6     </t>
  </si>
  <si>
    <t>Pilot layihə çərçivəsində icma əsaslı proqramların təkmilləşdirilməsi</t>
  </si>
  <si>
    <t>NƏCƏV MVAI XVİ, HPŞD, RVÖÜ, ÖLKG, Meydan 2 Agentliyi, ƏVH, MKFÜD, NMZ, VÜ</t>
  </si>
  <si>
    <t>Ailələrin davamlı olaraq həyata keçirilməsi</t>
  </si>
  <si>
    <t>Müraciətlərin qəbulu prosesinin davamlı olaraq həyata keçirilməsi</t>
  </si>
  <si>
    <t xml:space="preserve">9.4.9     </t>
  </si>
  <si>
    <t>NƏCƏV MVAI XVİ, HPŞD, DÜİ, RVÖÜ, ÖLKG, Meydan 2 Agentliyi, ƏVH, MKFÜD, NMZ, VÜ</t>
  </si>
  <si>
    <t>1.2.4.</t>
  </si>
  <si>
    <t>İllik plana uyğun regional mərkəzlərin təkmilləşdirilməsi</t>
  </si>
  <si>
    <t>ÇFPCL, ÇAUNF, LAÜT</t>
  </si>
  <si>
    <t>5.3.8.</t>
  </si>
  <si>
    <t>Hüquqi təminat şöbəsi, Nur Agentliyi</t>
  </si>
  <si>
    <t>6.4.3.</t>
  </si>
  <si>
    <t xml:space="preserve">Nur Agentliyi, 
Hüquqi təminat şöbəsi</t>
  </si>
  <si>
    <t>ÇFPCL, BOV</t>
  </si>
  <si>
    <t>12 iştirakçının əhatə olunduğu təlim sessiyaları keçirilmişdir</t>
  </si>
  <si>
    <t>9.2.29.</t>
  </si>
  <si>
    <t>ÇFPCL, YYÇX, ÇAUNF, ÖŞŞÖG</t>
  </si>
  <si>
    <t>Hesabat dövründə 60 nəfər hədəf qrupdan tədbirlərə cəlb edilmişdir</t>
  </si>
  <si>
    <t>6.1.6.</t>
  </si>
  <si>
    <t>Pilot layihə çərçivəsində hədəf qrupların davamlı olaraq həyata keçirilməsi</t>
  </si>
  <si>
    <t>2021–2022</t>
  </si>
  <si>
    <t xml:space="preserve">Nümunə Sosial Xidmətlər Nazirliyi,Vüsal 2 Qurumu
Aydın 2 Qurumu
Təbiət 2 Qurumu</t>
  </si>
  <si>
    <t>Hüquqi təminat şöbəsi, İnsan resursları şöbəsi, İnkişaf siyasəti 2 şöbəsi, Ərgün Xidməti, Orxan Xidməti</t>
  </si>
  <si>
    <t>ÇFPCL</t>
  </si>
  <si>
    <t>6.9.2.1.</t>
  </si>
  <si>
    <t>İllik plana uyğun müraciətlərin qəbulu prosesinin tətbiq olunması</t>
  </si>
  <si>
    <t>Pilot layihə çərçivəsində statistik məlumat bazasının inkişaf etdirilməsi</t>
  </si>
  <si>
    <t>NICOL, ÇF, İL</t>
  </si>
  <si>
    <t>Nur Agentliyi, Hüquqi təminat şöbəsi, Layihələrin idarə olunması şöbəsi</t>
  </si>
  <si>
    <t>Elektron platformada 26 yeni məlumat təqdim edilmişdir</t>
  </si>
  <si>
    <t>Hədəf qrup üzrə sosial xidmətlərin genişləndirilməsi</t>
  </si>
  <si>
    <t>2024-2025</t>
  </si>
  <si>
    <t>Elektron platformada 40 yeni məlumat təqdim edilmişdir</t>
  </si>
  <si>
    <t>İllik plana uyğun sosial xidmətlərin davamlı olaraq həyata keçirilməsi</t>
  </si>
  <si>
    <t>4 iştirakçının əhatə olunduğu təlim sessiyaları keçirilmişdir</t>
  </si>
  <si>
    <t>9.4.4.6</t>
  </si>
  <si>
    <t>Əməkdaşlıq protokollarının əhatə dairəsinin artırılması</t>
  </si>
  <si>
    <t>MXT, ÇFPCL</t>
  </si>
  <si>
    <t>8.9.6.9</t>
  </si>
  <si>
    <t xml:space="preserve">Nümunə Sosial Xidmətlər Nazirliyi
Lamiə Nazirliyi, MPY, yerli icra hakimiyyəti orqanları </t>
  </si>
  <si>
    <t>Layihələrin idarə olunması şöbəsi, Aran Agentliyi, Nur Agentliyi, “MVAI” İnfrastruktur Mərkəzi,  Kamran Mərkəzi</t>
  </si>
  <si>
    <t>4.7.5.6.</t>
  </si>
  <si>
    <t>Təlim modullarının hazırlanması və təqdim edilməsi</t>
  </si>
  <si>
    <t xml:space="preserve">Nümunə Sosial Xidmətlər Nazirliyi 
Vüsal Nazirliyi, Səbuhi Agentliyi, Cavid Birliyi, yerli icra hakimiyyəti orqanları</t>
  </si>
  <si>
    <t>Aran Agentliyi, Maliyyə və təchizat şöbəsi, Hüquqi təminat şöbəsi, Nur Agentliyi</t>
  </si>
  <si>
    <t>Planlaşdırılan işlər üzrə 25 fəaliyyət həyata keçirilmişdir</t>
  </si>
  <si>
    <t>Hesabat dövründə 47 nəfər hədəf qrupdan tədbirlərə cəlb edilmişdir</t>
  </si>
  <si>
    <t>6.5.1.</t>
  </si>
  <si>
    <t>Hədəf qrup üzrə metodoloji vəsaitlərin davamlı olaraq həyata keçirilməsi</t>
  </si>
  <si>
    <t>2023-2027</t>
  </si>
  <si>
    <t>Səbuhi Agentliyi, Cavid Birliyi, Nümunə Sosial Xidmətlər Nazirliyi, Dəniz Nazirliyi, Lamiə Nazirliyi</t>
  </si>
  <si>
    <t>Nur Agentliyi, Aran Agentliyi</t>
  </si>
  <si>
    <t>Pilot layihə çərçivəsində könüllü qrupların davamlı olaraq həyata keçirilməsi</t>
  </si>
  <si>
    <t>7.9.4.</t>
  </si>
  <si>
    <t>BOV, ÇFPCL</t>
  </si>
  <si>
    <t>Vahidin dəyəri orta hesabla 775 azn</t>
  </si>
  <si>
    <t>8.8.6.</t>
  </si>
  <si>
    <t>4.8.8.</t>
  </si>
  <si>
    <t xml:space="preserve">Vüsal Nazirliyi, Nümunə Sosial Xidmətlər Nazirliyi 
</t>
  </si>
  <si>
    <t>ÇAUNF, ÇFPCL</t>
  </si>
  <si>
    <t>6.8.5.</t>
  </si>
  <si>
    <t>Statistik məlumat bazasının təşkil edilməsi</t>
  </si>
  <si>
    <t xml:space="preserve">2018-2020
Mütəmadi</t>
  </si>
  <si>
    <t xml:space="preserve">Vüsal Nazirliyi, Nümunə Sosial Xidmətlər Nazirliyi,
Dəniz Nazirliyi</t>
  </si>
  <si>
    <t>4.9.4.</t>
  </si>
  <si>
    <t xml:space="preserve">2018-2019
Mütəmadi</t>
  </si>
  <si>
    <t xml:space="preserve">Vüsal Nazirliyi, Nümunə Sosial Xidmətlər Nazirliyi,
Lamiə Nazirliyi, Dəniz Nazirliyi</t>
  </si>
  <si>
    <t>ÖŞŞÖG, TSP, ARUAN, ZCÖSÇ, LAÜT, ÇAUNF, BOV, ÖGÖM, ÇFPCL</t>
  </si>
  <si>
    <t>Hədəf qrup üzrə 59 tədbirin keçirilməsi</t>
  </si>
  <si>
    <t>8.17.7.7.5.</t>
  </si>
  <si>
    <t>ZÖV NICOL, EKÇ, FTMAN, ƏUVDO, KVPÖG, YCMO, MVAI, RVÖÜ, ƏVH, ÖLKG, NMZ</t>
  </si>
  <si>
    <t>2.2.</t>
  </si>
  <si>
    <t>Müraciətlərin qəbulu prosesinin təhlilinin aparılması</t>
  </si>
  <si>
    <t xml:space="preserve">Rəsul Nazirliyi, Aidiyyəti dövlət orqanları (qurumları),Ülkər Qurumu
Vaqif Palatası</t>
  </si>
  <si>
    <t xml:space="preserve">Beynəlxalq tərəfdaşlıq şöbəsi, Hüquqi təminat 2 şöbəsi, Sima Fondu,
Ərgün Xidməti, Yalçın Agentliyi, Aran Agentliyi</t>
  </si>
  <si>
    <t>4.5.</t>
  </si>
  <si>
    <t>Hədəf qrup üzrə ailələrin əhatə dairəsinin artırılması</t>
  </si>
  <si>
    <t>Günəş 2 Mərkəzi, Aidiyyəti dövlət orqanları (qurumları)</t>
  </si>
  <si>
    <t>Dağ Qurumu, Xidmət standartları şöbəsi, Rəqəmsal transformasiya şöbəsi</t>
  </si>
  <si>
    <t>6.2.</t>
  </si>
  <si>
    <t>İcma əsaslı proqramların inkişaf etdirilməsi</t>
  </si>
  <si>
    <t>Hədəf qrup üzrə 26 tədbirin keçirilməsi</t>
  </si>
  <si>
    <t>8.9.9.</t>
  </si>
  <si>
    <t>sentyabr</t>
  </si>
  <si>
    <t xml:space="preserve">ÇF,
İL, NICOL, ÖX, FŞZ</t>
  </si>
  <si>
    <t>TUPY, GS</t>
  </si>
  <si>
    <t>1.7.3.</t>
  </si>
  <si>
    <t>Əməkdaşlıq protokollarının genişləndirilməsi</t>
  </si>
  <si>
    <t>57 qurumla əməkdaşlıq çərçivəsində görüşlər təşkil olunmuşdur</t>
  </si>
  <si>
    <t>6.7.16.</t>
  </si>
  <si>
    <t>2020-2025</t>
  </si>
  <si>
    <t xml:space="preserve">Ulduz 2 Komitəsi, Nümunə Sosial Xidmətlər Nazirliyi,
Vüsal Nazirliyi, Orxan Nazirliyi,
Lalə Qurumu, Bulaq 2 Qurumu
Dağ 2 Komitəsi</t>
  </si>
  <si>
    <t>Aran Agentliyi, Nur Agentliyi</t>
  </si>
  <si>
    <t>49 qurumla əməkdaşlıq çərçivəsində görüşlər təşkil olunmuşdur</t>
  </si>
  <si>
    <t>5.3.25.</t>
  </si>
  <si>
    <t xml:space="preserve">Elnur Nazirliyi,
Nümunə Sosial Xidmətlər Nazirliyi</t>
  </si>
  <si>
    <t>Hüquqi təminat şöbəsi, Aran Agentliyi, Nur Agentliyi</t>
  </si>
  <si>
    <t>Regionlar üzrə regional mərkəzlərin təhlilinin aparılması</t>
  </si>
  <si>
    <t>MKFÜD, MKFÜD</t>
  </si>
  <si>
    <t xml:space="preserve">1.1.8     </t>
  </si>
  <si>
    <t>İllik plana uyğun statistik məlumat bazasının təşkil edilməsi</t>
  </si>
  <si>
    <t>MKFÜD, MVAI XVİ</t>
  </si>
  <si>
    <t>Metodoloji vəsaitlərin genişləndirilməsi</t>
  </si>
  <si>
    <t>İllik plana uyğun metodoloji vəsaitlərin təkmilləşdirilməsi</t>
  </si>
  <si>
    <t>MKFÜD, ÇEOK</t>
  </si>
  <si>
    <t xml:space="preserve">4.9.7     </t>
  </si>
  <si>
    <t>Hədəf qrup üzrə icma əsaslı proqramların inkişaf etdirilməsi</t>
  </si>
  <si>
    <t xml:space="preserve">8.3.8     </t>
  </si>
  <si>
    <t>Regional mərkəzlərin tətbiq olunması</t>
  </si>
  <si>
    <t>Regionlar üzrə əməkdaşlıq protokollarının hazırlanması və təqdim edilməsi</t>
  </si>
  <si>
    <t>22 qurumla əməkdaşlıq çərçivəsində görüşlər təşkil olunmuşdur</t>
  </si>
  <si>
    <t>8.4.9.</t>
  </si>
  <si>
    <t>İllik plana uyğun qiymətləndirmə meyarlarının hazırlanması və təqdim edilməsi</t>
  </si>
  <si>
    <t>Hədəf qrup üzrə qiymətləndirmə meyarlarının tətbiq olunması</t>
  </si>
  <si>
    <t>4.9.8.</t>
  </si>
  <si>
    <t>Müraciətlərin qəbulu prosesinin genişləndirilməsi</t>
  </si>
  <si>
    <t>Elektron platformada 54 yeni məlumat təqdim edilmişdir</t>
  </si>
  <si>
    <t>9.1.6.</t>
  </si>
  <si>
    <t>Regionlar üzrə hədəf qrupların təhlilinin aparılması</t>
  </si>
  <si>
    <t>Monitorinq mexanizminin davamlı olaraq həyata keçirilməsi</t>
  </si>
  <si>
    <t>5.7.7.</t>
  </si>
  <si>
    <t>Hədəf qrup üzrə təlim modullarının təhlilinin aparılması</t>
  </si>
  <si>
    <t>Elektron platformada 19 yeni məlumat təqdim edilmişdir</t>
  </si>
  <si>
    <t>9.2.9.</t>
  </si>
  <si>
    <t>Pilot layihə çərçivəsində maarifləndirmə kampaniyalarının gücləndirilməsi</t>
  </si>
  <si>
    <t>Hədəf qrup üzrə monitorinq mexanizminin əhatə dairəsinin artırılması</t>
  </si>
  <si>
    <t>Planlaşdırılan işlər üzrə 32 fəaliyyət həyata keçirilmişdir</t>
  </si>
  <si>
    <t>3.9.9.</t>
  </si>
  <si>
    <t>Hədəf qrup üzrə maarifləndirmə kampaniyalarının gücləndirilməsi</t>
  </si>
  <si>
    <t>Hədəf qrup üzrə əməkdaşlıq protokollarının gücləndirilməsi</t>
  </si>
  <si>
    <t>Elektron platformada 46 yeni məlumat təqdim edilmişdir</t>
  </si>
  <si>
    <t>7.8.4.</t>
  </si>
  <si>
    <t>Regionlar üzrə monitorinq mexanizminin təşkil edilməsi</t>
  </si>
  <si>
    <t>Əməkdaşlıq protokollarının təhlilinin aparılması</t>
  </si>
  <si>
    <t>MKFÜD, MVAI BS, ÇEOK</t>
  </si>
  <si>
    <t>Regionlar üzrə məsləhətləşmə xidmətlərinin hazırlanması və təqdim edilməsi</t>
  </si>
  <si>
    <t>Tədqiqat işlərinin davamlı olaraq həyata keçirilməsi</t>
  </si>
  <si>
    <t>İllik plana uyğun statistik məlumat bazasının təhlilinin aparılması</t>
  </si>
  <si>
    <t>Elektron platformada 24 yeni məlumat təqdim edilmişdir</t>
  </si>
  <si>
    <t>Pilot layihə çərçivəsində qiymətləndirmə meyarlarının təşkil edilməsi</t>
  </si>
  <si>
    <t>8.6.5.</t>
  </si>
  <si>
    <t>Regional mərkəzlərin hazırlanması və təqdim edilməsi</t>
  </si>
  <si>
    <t>Elektron platformada 11 yeni məlumat təqdim edilmişdir</t>
  </si>
  <si>
    <t>Tədqiqat işlərinin təkmilləşdirilməsi</t>
  </si>
  <si>
    <t>Elektron platformada 28 yeni məlumat təqdim edilmişdir</t>
  </si>
  <si>
    <t>İllik plana uyğun hədəf qrupların təkmilləşdirilməsi</t>
  </si>
  <si>
    <t>11 iştirakçının əhatə olunduğu təlim sessiyaları keçirilmişdir</t>
  </si>
  <si>
    <t>4.7.3.</t>
  </si>
  <si>
    <t>MKFÜD, NMZ, ÇEOK</t>
  </si>
  <si>
    <t>Planlaşdırılan işlər üzrə 47 fəaliyyət həyata keçirilmişdir</t>
  </si>
  <si>
    <t>6 qurumla əməkdaşlıq çərçivəsində görüşlər təşkil olunmuşdur</t>
  </si>
  <si>
    <t>8.6.9.</t>
  </si>
  <si>
    <t>2.7.4.</t>
  </si>
  <si>
    <t>51 iştirakçının əhatə olunduğu təlim sessiyaları keçirilmişdir</t>
  </si>
  <si>
    <t>4.5.7.</t>
  </si>
  <si>
    <t>Planlaşdırılan işlər üzrə 12 fəaliyyət həyata keçirilmişdir</t>
  </si>
  <si>
    <t>DP N əsas TP A əsas - Dövlət Proqramı üzrə Nazirliyin əsas, Nazirliyin Tədbirlər Planı ilə Agentliyin əsas içracı olduğu bəndlər</t>
  </si>
  <si>
    <t>Göstərici</t>
  </si>
  <si>
    <t>Hüquqi aktların sayı</t>
  </si>
  <si>
    <t>Yarımbəndlərin sayı</t>
  </si>
  <si>
    <t>DP N əsas TP A digər - Dövlət Proqramı üzrə Nazirliyin əsas, Nazirliyin Tədbirlər Planı ilə Agentliyin digər içracı olduğu bəndlər</t>
  </si>
  <si>
    <t>Ümumi icra olunan işlər</t>
  </si>
  <si>
    <t>DP N digər TP A əsas - Dövlət Proqramı üzrə Nazirliyin digər, Nazirliyin Tədbirlər Planı ilə Agentliyin əsas içracı olduğu bəndlər</t>
  </si>
  <si>
    <t>Əsas icraçı olduğumuz</t>
  </si>
  <si>
    <t>DP N digər TP A digər - Dövlət Proqramı üzrə Nazirliyin digər, Nazirliyin Tədbirlər Planı ilə Agentliyin digər içracı olduğu bəndlər</t>
  </si>
  <si>
    <t>Digər icraçı olduğumuz</t>
  </si>
  <si>
    <t>Tin üzrə - Tapşırıqların İcrasına Nəzarət platformasında olan bəndlər</t>
  </si>
  <si>
    <t>Sıra №</t>
  </si>
  <si>
    <t>Hüquqi Aktın adı</t>
  </si>
  <si>
    <t>İcra olunmalı yarımbənd sayı</t>
  </si>
  <si>
    <t>Hüquqi Akt üzrə icra vəziyyəti</t>
  </si>
  <si>
    <t>Tin üzrə icra vəziyyəti</t>
  </si>
  <si>
    <t>CƏMİ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</si>
</sst>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charset val="1"/>
    </font>
    <font>
      <sz val="11"/>
      <color rgb="FF9C0006"/>
      <name val="Calibri"/>
      <family val="2"/>
      <charset val="204"/>
    </font>
    <font>
      <sz val="12"/>
      <color theme="1"/>
      <name val="Arial"/>
      <family val="2"/>
      <charset val="1"/>
    </font>
    <font>
      <b/>
      <sz val="16"/>
      <name val="Arial"/>
      <family val="2"/>
      <charset val="1"/>
    </font>
    <font>
      <b/>
      <sz val="14"/>
      <name val="Arial"/>
      <family val="2"/>
      <charset val="1"/>
    </font>
    <font>
      <sz val="16"/>
      <color theme="1"/>
      <name val="Calibri"/>
      <family val="2"/>
      <charset val="1"/>
    </font>
    <font>
      <sz val="12"/>
      <name val="Arial"/>
      <family val="2"/>
      <charset val="1"/>
    </font>
    <font>
      <sz val="11"/>
      <color theme="1"/>
      <name val="Arial"/>
      <family val="2"/>
      <charset val="1"/>
    </font>
    <font>
      <b/>
      <sz val="11"/>
      <color theme="1"/>
      <name val="Calibri"/>
      <family val="2"/>
      <charset val="1"/>
    </font>
    <font>
      <b/>
      <sz val="11"/>
      <color theme="1"/>
      <name val="Arial"/>
      <family val="2"/>
      <charset val="1"/>
    </font>
    <font>
      <b/>
      <i/>
      <u/>
      <sz val="11"/>
      <color theme="1"/>
      <name val="Arial"/>
      <family val="2"/>
      <charset val="1"/>
    </font>
    <font>
      <b/>
      <i/>
      <sz val="11"/>
      <color theme="1"/>
      <name val="Calibri"/>
      <family val="2"/>
      <charset val="1"/>
    </font>
    <font>
      <sz val="12"/>
      <name val="Arial"/>
      <family val="2"/>
      <charset val="186"/>
    </font>
    <font>
      <i/>
      <sz val="12"/>
      <name val="Arial"/>
      <family val="2"/>
      <charset val="186"/>
    </font>
    <font>
      <i/>
      <sz val="12"/>
      <color rgb="FFFF0000"/>
      <name val="Arial"/>
      <family val="2"/>
      <charset val="186"/>
    </font>
    <font>
      <b/>
      <sz val="12"/>
      <color rgb="FFFF0000"/>
      <name val="Arial"/>
      <family val="2"/>
      <charset val="186"/>
    </font>
    <font>
      <b/>
      <sz val="12"/>
      <name val="Arial"/>
      <family val="2"/>
      <charset val="186"/>
    </font>
    <font>
      <sz val="12"/>
      <color theme="1"/>
      <name val="Arial"/>
      <family val="2"/>
      <charset val="186"/>
    </font>
    <font>
      <sz val="12"/>
      <color rgb="FFC00000"/>
      <name val="Arial"/>
      <family val="2"/>
      <charset val="186"/>
    </font>
    <font>
      <sz val="12"/>
      <color rgb="FFFF0000"/>
      <name val="Arial"/>
      <family val="2"/>
      <charset val="186"/>
    </font>
    <font>
      <sz val="12"/>
      <color rgb="FF000000"/>
      <name val="Arial"/>
      <family val="2"/>
      <charset val="186"/>
    </font>
    <font>
      <b/>
      <sz val="12"/>
      <color theme="1"/>
      <name val="Arial"/>
      <family val="2"/>
      <charset val="186"/>
    </font>
    <font>
      <sz val="12"/>
      <name val="Calibri"/>
      <family val="2"/>
      <charset val="186"/>
    </font>
    <font>
      <sz val="12"/>
      <color theme="1"/>
      <name val="Calibri"/>
      <family val="2"/>
      <charset val="186"/>
    </font>
    <font>
      <b/>
      <sz val="12"/>
      <color rgb="FF000000"/>
      <name val="Arial"/>
      <family val="2"/>
      <charset val="186"/>
    </font>
  </fonts>
  <fills count="7">
    <fill>
      <patternFill patternType="none"/>
    </fill>
    <fill>
      <patternFill patternType="gray125"/>
    </fill>
    <fill>
      <patternFill patternType="solid">
        <fgColor rgb="FFFFC7CE"/>
        <bgColor rgb="FFDAE3F3"/>
      </patternFill>
    </fill>
    <fill>
      <patternFill patternType="solid">
        <fgColor theme="4" tint="0.59987182226020086"/>
        <bgColor rgb="FFDAE3F3"/>
      </patternFill>
    </fill>
    <fill>
      <patternFill patternType="solid">
        <fgColor rgb="FF99FFCC"/>
        <bgColor rgb="FFCCFFFF"/>
      </patternFill>
    </fill>
    <fill>
      <patternFill patternType="solid">
        <fgColor rgb="FFC6E0B4"/>
        <bgColor rgb="FFBDD7EE"/>
      </patternFill>
    </fill>
    <fill>
      <patternFill patternType="solid">
        <fgColor rgb="FF92D050"/>
        <bgColor rgb="FFC6E0B4"/>
      </patternFill>
    </fill>
  </fills>
  <borders count="50">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ck">
        <color auto="1"/>
      </bottom>
      <diagonal/>
    </border>
    <border>
      <left style="thin">
        <color auto="1"/>
      </left>
      <right/>
      <top style="thick">
        <color auto="1"/>
      </top>
      <bottom style="thin">
        <color auto="1"/>
      </bottom>
      <diagonal/>
    </border>
    <border>
      <left style="thick">
        <color auto="1"/>
      </left>
      <right/>
      <top style="thick">
        <color auto="1"/>
      </top>
      <bottom style="thick">
        <color auto="1"/>
      </bottom>
      <diagonal/>
    </border>
    <border>
      <left style="thick">
        <color auto="1"/>
      </left>
      <right style="medium">
        <color auto="1"/>
      </right>
      <top/>
      <bottom style="thick">
        <color auto="1"/>
      </bottom>
      <diagonal/>
    </border>
    <border>
      <left style="medium">
        <color auto="1"/>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style="dashed">
        <color auto="1"/>
      </right>
      <top style="thick">
        <color auto="1"/>
      </top>
      <bottom style="dashed">
        <color auto="1"/>
      </bottom>
      <diagonal/>
    </border>
    <border>
      <left style="dashed">
        <color auto="1"/>
      </left>
      <right style="dashed">
        <color auto="1"/>
      </right>
      <top style="thick">
        <color auto="1"/>
      </top>
      <bottom style="dashed">
        <color auto="1"/>
      </bottom>
      <diagonal/>
    </border>
    <border>
      <left style="dashed">
        <color auto="1"/>
      </left>
      <right style="dashed">
        <color auto="1"/>
      </right>
      <top/>
      <bottom style="dashed">
        <color auto="1"/>
      </bottom>
      <diagonal/>
    </border>
    <border>
      <left style="dashed">
        <color auto="1"/>
      </left>
      <right style="thick">
        <color auto="1"/>
      </right>
      <top/>
      <bottom style="dashed">
        <color auto="1"/>
      </bottom>
      <diagonal/>
    </border>
    <border>
      <left/>
      <right style="thick">
        <color auto="1"/>
      </right>
      <top style="thick">
        <color auto="1"/>
      </top>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ck">
        <color auto="1"/>
      </right>
      <top style="dashed">
        <color auto="1"/>
      </top>
      <bottom style="dashed">
        <color auto="1"/>
      </bottom>
      <diagonal/>
    </border>
    <border>
      <left/>
      <right style="dashed">
        <color auto="1"/>
      </right>
      <top/>
      <bottom/>
      <diagonal/>
    </border>
    <border>
      <left style="dashed">
        <color auto="1"/>
      </left>
      <right style="dashed">
        <color auto="1"/>
      </right>
      <top/>
      <bottom/>
      <diagonal/>
    </border>
    <border>
      <left/>
      <right style="thick">
        <color auto="1"/>
      </right>
      <top style="thick">
        <color auto="1"/>
      </top>
      <bottom style="thick">
        <color auto="1"/>
      </bottom>
      <diagonal/>
    </border>
    <border>
      <left style="thick">
        <color auto="1"/>
      </left>
      <right style="thick">
        <color auto="1"/>
      </right>
      <top/>
      <bottom/>
      <diagonal/>
    </border>
    <border>
      <left/>
      <right style="dashed">
        <color auto="1"/>
      </right>
      <top/>
      <bottom style="dashed">
        <color auto="1"/>
      </bottom>
      <diagonal/>
    </border>
    <border>
      <left/>
      <right style="thick">
        <color auto="1"/>
      </right>
      <top/>
      <bottom/>
      <diagonal/>
    </border>
    <border>
      <left/>
      <right style="dashed">
        <color auto="1"/>
      </right>
      <top style="dashed">
        <color auto="1"/>
      </top>
      <bottom/>
      <diagonal/>
    </border>
    <border>
      <left style="dashed">
        <color auto="1"/>
      </left>
      <right style="dashed">
        <color auto="1"/>
      </right>
      <top style="dashed">
        <color auto="1"/>
      </top>
      <bottom/>
      <diagonal/>
    </border>
    <border>
      <left style="dashed">
        <color auto="1"/>
      </left>
      <right/>
      <top style="dashed">
        <color auto="1"/>
      </top>
      <bottom/>
      <diagonal/>
    </border>
    <border>
      <left style="dashed">
        <color auto="1"/>
      </left>
      <right/>
      <top style="dashed">
        <color auto="1"/>
      </top>
      <bottom style="dashed">
        <color auto="1"/>
      </bottom>
      <diagonal/>
    </border>
    <border>
      <left style="dashed">
        <color auto="1"/>
      </left>
      <right/>
      <top/>
      <bottom/>
      <diagonal/>
    </border>
    <border>
      <left/>
      <right style="thick">
        <color auto="1"/>
      </right>
      <top/>
      <bottom style="thick">
        <color auto="1"/>
      </bottom>
      <diagonal/>
    </border>
    <border>
      <left style="dashed">
        <color auto="1"/>
      </left>
      <right/>
      <top/>
      <bottom style="dashed">
        <color auto="1"/>
      </bottom>
      <diagonal/>
    </border>
    <border>
      <left style="dashed">
        <color auto="1"/>
      </left>
      <right style="dashed">
        <color auto="1"/>
      </right>
      <top style="dashed">
        <color auto="1"/>
      </top>
      <bottom style="thick">
        <color auto="1"/>
      </bottom>
      <diagonal/>
    </border>
    <border>
      <left style="dashed">
        <color auto="1"/>
      </left>
      <right style="thick">
        <color auto="1"/>
      </right>
      <top style="dashed">
        <color auto="1"/>
      </top>
      <bottom style="thick">
        <color auto="1"/>
      </bottom>
      <diagonal/>
    </border>
    <border>
      <left style="dashed">
        <color auto="1"/>
      </left>
      <right style="thick">
        <color auto="1"/>
      </right>
      <top/>
      <bottom style="thick">
        <color auto="1"/>
      </bottom>
      <diagonal/>
    </border>
    <border>
      <left style="thick">
        <color auto="1"/>
      </left>
      <right style="dashed">
        <color auto="1"/>
      </right>
      <top/>
      <bottom style="thick">
        <color auto="1"/>
      </bottom>
      <diagonal/>
    </border>
    <border>
      <left/>
      <right/>
      <top/>
      <bottom style="dashed">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thick">
        <color auto="1"/>
      </top>
      <bottom/>
      <diagonal/>
    </border>
    <border>
      <left/>
      <right style="dashed">
        <color auto="1"/>
      </right>
      <top style="thick">
        <color auto="1"/>
      </top>
      <bottom/>
      <diagonal/>
    </border>
    <border>
      <left style="dashed">
        <color auto="1"/>
      </left>
      <right style="dashed">
        <color auto="1"/>
      </right>
      <top style="thick">
        <color auto="1"/>
      </top>
      <bottom/>
      <diagonal/>
    </border>
    <border>
      <left style="thick">
        <color auto="1"/>
      </left>
      <right style="dashed">
        <color auto="1"/>
      </right>
      <top style="thick">
        <color auto="1"/>
      </top>
      <bottom style="dashed">
        <color auto="1"/>
      </bottom>
      <diagonal/>
    </border>
    <border>
      <left style="dashed">
        <color auto="1"/>
      </left>
      <right style="thick">
        <color auto="1"/>
      </right>
      <top style="thick">
        <color auto="1"/>
      </top>
      <bottom style="dashed">
        <color auto="1"/>
      </bottom>
      <diagonal/>
    </border>
    <border>
      <left style="thick">
        <color auto="1"/>
      </left>
      <right style="dashed">
        <color auto="1"/>
      </right>
      <top style="dashed">
        <color auto="1"/>
      </top>
      <bottom style="dashed">
        <color auto="1"/>
      </bottom>
      <diagonal/>
    </border>
    <border>
      <left style="thick">
        <color auto="1"/>
      </left>
      <right style="dashed">
        <color auto="1"/>
      </right>
      <top style="dashed">
        <color auto="1"/>
      </top>
      <bottom style="thick">
        <color auto="1"/>
      </bottom>
      <diagonal/>
    </border>
    <border>
      <left style="thin">
        <color auto="1"/>
      </left>
      <right/>
      <top style="thin">
        <color auto="1"/>
      </top>
      <bottom style="thin">
        <color auto="1"/>
      </bottom>
      <diagonal/>
    </border>
    <border>
      <left style="thin">
        <color auto="1"/>
      </left>
      <right/>
      <top style="thin">
        <color auto="1"/>
      </top>
      <bottom/>
      <diagonal/>
    </border>
  </borders>
  <cellStyleXfs count="2">
    <xf numFmtId="0" fontId="0" fillId="0" borderId="0"/>
    <xf numFmtId="0" fontId="1" fillId="2" borderId="0"/>
  </cellStyleXfs>
  <cellXfs count="159">
    <xf numFmtId="0" fontId="0" fillId="0" borderId="0" xfId="0"/>
    <xf numFmtId="0" fontId="10" fillId="0" borderId="11" xfId="0" applyFont="1" applyBorder="1" applyAlignment="1">
      <alignment horizontal="center"/>
    </xf>
    <xf numFmtId="0" fontId="9" fillId="3" borderId="1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xf numFmtId="0" fontId="2" fillId="0" borderId="0" xfId="0" applyFont="1" applyAlignment="1">
      <alignment wrapText="1"/>
    </xf>
    <xf numFmtId="0" fontId="5" fillId="0" borderId="0" xfId="0" applyFont="1" applyAlignment="1">
      <alignment wrapText="1"/>
    </xf>
    <xf numFmtId="0" fontId="6" fillId="0" borderId="0" xfId="0" applyFont="1" applyAlignment="1">
      <alignment horizontal="center" vertical="center" wrapText="1"/>
    </xf>
    <xf numFmtId="0" fontId="5" fillId="0" borderId="0" xfId="0" applyFont="1"/>
    <xf numFmtId="0" fontId="2"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0" fillId="0" borderId="0" xfId="0" applyAlignment="1">
      <alignment vertical="top"/>
    </xf>
    <xf numFmtId="0" fontId="8" fillId="0" borderId="0" xfId="0" applyFont="1" applyAlignment="1">
      <alignment vertical="top" wrapText="1"/>
    </xf>
    <xf numFmtId="0" fontId="8" fillId="0" borderId="4" xfId="0" applyFont="1" applyBorder="1" applyAlignment="1">
      <alignment horizontal="center" vertical="top" wrapText="1"/>
    </xf>
    <xf numFmtId="0" fontId="0" fillId="0" borderId="4" xfId="0" applyBorder="1" applyAlignment="1">
      <alignment vertical="top" wrapText="1"/>
    </xf>
    <xf numFmtId="0" fontId="0" fillId="4" borderId="4" xfId="0" applyFill="1" applyBorder="1" applyAlignment="1">
      <alignment vertical="top" wrapText="1"/>
    </xf>
    <xf numFmtId="0" fontId="0" fillId="5" borderId="4" xfId="0" applyFill="1" applyBorder="1" applyAlignment="1">
      <alignment vertical="top" wrapText="1"/>
    </xf>
    <xf numFmtId="0" fontId="0" fillId="0" borderId="6" xfId="0" applyBorder="1"/>
    <xf numFmtId="0" fontId="9" fillId="0" borderId="11" xfId="0" applyFont="1" applyBorder="1" applyAlignment="1">
      <alignment vertical="center" wrapText="1"/>
    </xf>
    <xf numFmtId="0" fontId="9" fillId="0" borderId="12" xfId="0" applyFont="1" applyBorder="1" applyAlignment="1">
      <alignment vertical="center" wrapText="1"/>
    </xf>
    <xf numFmtId="0" fontId="7" fillId="0" borderId="13" xfId="0" applyFont="1" applyBorder="1" applyAlignment="1">
      <alignment horizontal="center" vertical="center"/>
    </xf>
    <xf numFmtId="0" fontId="7" fillId="0" borderId="11" xfId="0" applyFont="1" applyBorder="1" applyAlignment="1">
      <alignment horizontal="left" vertical="center" wrapText="1"/>
    </xf>
    <xf numFmtId="0" fontId="7" fillId="0" borderId="12"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3" borderId="16"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7" fillId="3" borderId="18" xfId="0" applyFont="1" applyFill="1" applyBorder="1" applyAlignment="1">
      <alignment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3" borderId="20"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3" borderId="24" xfId="0" applyFont="1" applyFill="1" applyBorder="1" applyAlignment="1">
      <alignment vertical="center" wrapText="1"/>
    </xf>
    <xf numFmtId="0" fontId="7" fillId="0" borderId="13" xfId="0" applyFont="1" applyBorder="1" applyAlignment="1">
      <alignment horizontal="center" vertical="center" wrapText="1"/>
    </xf>
    <xf numFmtId="0" fontId="7" fillId="3" borderId="24" xfId="0" applyFont="1" applyFill="1" applyBorder="1" applyAlignment="1">
      <alignment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3" borderId="27" xfId="0" applyFont="1" applyFill="1" applyBorder="1" applyAlignment="1">
      <alignment wrapText="1"/>
    </xf>
    <xf numFmtId="0" fontId="7" fillId="0" borderId="8" xfId="0" applyFont="1" applyBorder="1" applyAlignment="1">
      <alignment horizontal="left"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8" xfId="0" applyFont="1" applyBorder="1" applyAlignment="1">
      <alignment horizontal="left" vertical="center"/>
    </xf>
    <xf numFmtId="0" fontId="7" fillId="0" borderId="32" xfId="0" applyFont="1" applyBorder="1" applyAlignment="1">
      <alignment horizontal="center" vertical="center" wrapText="1"/>
    </xf>
    <xf numFmtId="0" fontId="7" fillId="3" borderId="33" xfId="0" applyFont="1" applyFill="1" applyBorder="1" applyAlignment="1">
      <alignment wrapText="1"/>
    </xf>
    <xf numFmtId="0" fontId="7" fillId="6" borderId="11" xfId="0" applyFont="1" applyFill="1" applyBorder="1" applyAlignment="1">
      <alignment horizontal="left" vertical="center" wrapText="1"/>
    </xf>
    <xf numFmtId="0" fontId="7" fillId="0" borderId="34" xfId="0" applyFont="1" applyBorder="1" applyAlignment="1">
      <alignment horizontal="center" vertical="center" wrapText="1"/>
    </xf>
    <xf numFmtId="0" fontId="7" fillId="3" borderId="35" xfId="0" applyFont="1" applyFill="1" applyBorder="1" applyAlignment="1">
      <alignment horizontal="center" vertical="center" wrapText="1"/>
    </xf>
    <xf numFmtId="0" fontId="7" fillId="3" borderId="36" xfId="0" applyFont="1" applyFill="1" applyBorder="1" applyAlignment="1">
      <alignment horizontal="center" vertical="center" wrapText="1"/>
    </xf>
    <xf numFmtId="0" fontId="7" fillId="3" borderId="27" xfId="0" applyFont="1" applyFill="1" applyBorder="1" applyAlignment="1">
      <alignment vertical="center" wrapText="1"/>
    </xf>
    <xf numFmtId="0" fontId="7" fillId="0" borderId="11" xfId="0" applyFont="1" applyBorder="1" applyAlignment="1">
      <alignment wrapText="1"/>
    </xf>
    <xf numFmtId="0" fontId="7" fillId="0" borderId="8" xfId="0" applyFont="1" applyBorder="1" applyAlignment="1">
      <alignment wrapText="1"/>
    </xf>
    <xf numFmtId="0" fontId="7" fillId="3" borderId="37" xfId="0" applyFont="1" applyFill="1" applyBorder="1" applyAlignment="1">
      <alignment wrapText="1"/>
    </xf>
    <xf numFmtId="0" fontId="7" fillId="3" borderId="13" xfId="0" applyFont="1" applyFill="1" applyBorder="1" applyAlignment="1">
      <alignment wrapText="1"/>
    </xf>
    <xf numFmtId="0" fontId="7" fillId="3" borderId="38" xfId="0" applyFont="1" applyFill="1" applyBorder="1" applyAlignment="1">
      <alignment wrapText="1"/>
    </xf>
    <xf numFmtId="0" fontId="0" fillId="0" borderId="0" xfId="0" applyAlignment="1">
      <alignment vertical="center"/>
    </xf>
    <xf numFmtId="0" fontId="0" fillId="0" borderId="32" xfId="0" applyBorder="1"/>
    <xf numFmtId="0" fontId="0" fillId="0" borderId="22" xfId="0" applyBorder="1"/>
    <xf numFmtId="0" fontId="11" fillId="0" borderId="0" xfId="0" applyFont="1" applyAlignment="1">
      <alignment horizontal="center" vertical="center"/>
    </xf>
    <xf numFmtId="0" fontId="8" fillId="0" borderId="0" xfId="0" applyFont="1" applyAlignment="1">
      <alignment vertical="center"/>
    </xf>
    <xf numFmtId="0" fontId="0" fillId="0" borderId="34" xfId="0" applyBorder="1"/>
    <xf numFmtId="0" fontId="0" fillId="0" borderId="39" xfId="0" applyBorder="1"/>
    <xf numFmtId="0" fontId="0" fillId="0" borderId="26" xfId="0" applyBorder="1"/>
    <xf numFmtId="0" fontId="9" fillId="0" borderId="41" xfId="0" applyFont="1" applyBorder="1" applyAlignment="1">
      <alignment vertical="center" wrapText="1"/>
    </xf>
    <xf numFmtId="0" fontId="7" fillId="0" borderId="42" xfId="0" applyFont="1" applyBorder="1" applyAlignment="1">
      <alignment horizontal="center" vertical="center" wrapText="1"/>
    </xf>
    <xf numFmtId="0" fontId="7" fillId="0" borderId="43" xfId="0" applyFont="1" applyBorder="1" applyAlignment="1">
      <alignment horizontal="center" vertical="center" wrapText="1"/>
    </xf>
    <xf numFmtId="0" fontId="7" fillId="3" borderId="11" xfId="0" applyFont="1" applyFill="1" applyBorder="1" applyAlignment="1">
      <alignment horizontal="right" vertical="center" wrapText="1"/>
    </xf>
    <xf numFmtId="0" fontId="7" fillId="0" borderId="11" xfId="0" applyFont="1" applyBorder="1" applyAlignment="1">
      <alignment horizontal="left" vertical="center"/>
    </xf>
    <xf numFmtId="0" fontId="7" fillId="3" borderId="11" xfId="0" applyFont="1" applyFill="1" applyBorder="1" applyAlignment="1">
      <alignment wrapText="1"/>
    </xf>
    <xf numFmtId="0" fontId="9" fillId="3" borderId="12"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44" xfId="0" applyFont="1" applyBorder="1" applyAlignment="1">
      <alignment horizontal="center" vertical="center" wrapText="1"/>
    </xf>
    <xf numFmtId="0" fontId="7" fillId="3" borderId="15" xfId="0" applyFont="1" applyFill="1" applyBorder="1" applyAlignment="1">
      <alignment horizontal="center" vertical="center" wrapText="1"/>
    </xf>
    <xf numFmtId="0" fontId="7" fillId="3" borderId="45" xfId="0" applyFont="1" applyFill="1" applyBorder="1" applyAlignment="1">
      <alignment horizontal="center" vertical="center" wrapText="1"/>
    </xf>
    <xf numFmtId="0" fontId="7" fillId="0" borderId="46"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13" xfId="0" applyFont="1" applyBorder="1" applyAlignment="1">
      <alignment wrapText="1"/>
    </xf>
    <xf numFmtId="0" fontId="0" fillId="0" borderId="0" xfId="0" applyAlignment="1">
      <alignment vertical="center" wrapText="1"/>
    </xf>
    <xf numFmtId="0" fontId="0" fillId="0" borderId="0" xfId="0" applyAlignment="1">
      <alignment wrapText="1"/>
    </xf>
    <xf numFmtId="1" fontId="3" fillId="0" borderId="2"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5" fillId="0" borderId="4" xfId="0" applyFont="1" applyBorder="1" applyAlignment="1">
      <alignment horizontal="center" vertical="center" wrapText="1"/>
    </xf>
    <xf numFmtId="0" fontId="12" fillId="0" borderId="4" xfId="0" applyFont="1" applyBorder="1" applyAlignment="1">
      <alignment horizontal="left" vertical="center" wrapText="1"/>
    </xf>
    <xf numFmtId="1" fontId="12" fillId="0" borderId="4" xfId="0" applyNumberFormat="1" applyFont="1" applyBorder="1" applyAlignment="1">
      <alignment horizontal="left" vertical="center" wrapText="1"/>
    </xf>
    <xf numFmtId="0" fontId="16" fillId="0" borderId="4" xfId="0" applyFont="1" applyBorder="1" applyAlignment="1">
      <alignment horizontal="center" vertical="center" wrapText="1"/>
    </xf>
    <xf numFmtId="0" fontId="17" fillId="0" borderId="4" xfId="0" applyFont="1" applyBorder="1" applyAlignment="1">
      <alignment horizontal="center" vertical="center" wrapText="1"/>
    </xf>
    <xf numFmtId="1" fontId="12" fillId="0" borderId="4" xfId="0" applyNumberFormat="1" applyFont="1" applyBorder="1" applyAlignment="1">
      <alignment horizontal="center" vertical="center" wrapText="1"/>
    </xf>
    <xf numFmtId="0" fontId="18"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20" fillId="0" borderId="4" xfId="0" applyFont="1" applyBorder="1" applyAlignment="1">
      <alignment horizontal="justify" vertical="center" wrapText="1"/>
    </xf>
    <xf numFmtId="0" fontId="17" fillId="0" borderId="4" xfId="0" applyFont="1" applyBorder="1" applyAlignment="1">
      <alignment horizontal="justify" vertical="center" wrapText="1"/>
    </xf>
    <xf numFmtId="0" fontId="21" fillId="0" borderId="4" xfId="0" applyFont="1" applyBorder="1" applyAlignment="1">
      <alignment horizontal="center" vertical="center" wrapText="1"/>
    </xf>
    <xf numFmtId="14" fontId="12" fillId="0" borderId="4" xfId="0" applyNumberFormat="1" applyFont="1" applyBorder="1" applyAlignment="1">
      <alignment horizontal="center" vertical="center" wrapText="1"/>
    </xf>
    <xf numFmtId="0" fontId="22" fillId="0" borderId="4" xfId="0" applyFont="1" applyBorder="1" applyAlignment="1">
      <alignment horizontal="center" vertical="center" wrapText="1"/>
    </xf>
    <xf numFmtId="16" fontId="12" fillId="0" borderId="4" xfId="0" applyNumberFormat="1" applyFont="1" applyBorder="1" applyAlignment="1">
      <alignment horizontal="center" vertical="center" wrapText="1"/>
    </xf>
    <xf numFmtId="0" fontId="15" fillId="0" borderId="4" xfId="0" applyFont="1" applyBorder="1" applyAlignment="1">
      <alignment horizontal="center" vertical="center"/>
    </xf>
    <xf numFmtId="0" fontId="12" fillId="0" borderId="4" xfId="0" applyFont="1" applyBorder="1" applyAlignment="1">
      <alignment horizontal="center" vertical="center"/>
    </xf>
    <xf numFmtId="0" fontId="22" fillId="0" borderId="4" xfId="0" applyFont="1" applyBorder="1" applyAlignment="1">
      <alignment horizontal="center" vertical="center"/>
    </xf>
    <xf numFmtId="0" fontId="16" fillId="0" borderId="4" xfId="0" applyFont="1" applyBorder="1" applyAlignment="1">
      <alignment horizontal="center" vertical="center"/>
    </xf>
    <xf numFmtId="1" fontId="16" fillId="0" borderId="4" xfId="0" applyNumberFormat="1" applyFont="1" applyBorder="1" applyAlignment="1">
      <alignment horizontal="center" vertical="center" wrapText="1"/>
    </xf>
    <xf numFmtId="49" fontId="12" fillId="0" borderId="4" xfId="0" applyNumberFormat="1" applyFont="1" applyBorder="1" applyAlignment="1">
      <alignment horizontal="center" vertical="center" wrapText="1"/>
    </xf>
    <xf numFmtId="0" fontId="17" fillId="0" borderId="4" xfId="0" applyFont="1" applyBorder="1" applyAlignment="1">
      <alignment horizontal="center" vertical="center"/>
    </xf>
    <xf numFmtId="0" fontId="17" fillId="0" borderId="4" xfId="0" applyFont="1" applyBorder="1" applyAlignment="1">
      <alignment vertical="top" wrapText="1"/>
    </xf>
    <xf numFmtId="0" fontId="17" fillId="0" borderId="4" xfId="0" applyFont="1" applyBorder="1" applyAlignment="1">
      <alignment horizontal="left" vertical="center" wrapText="1"/>
    </xf>
    <xf numFmtId="14" fontId="17" fillId="0" borderId="4" xfId="0" applyNumberFormat="1" applyFont="1" applyBorder="1" applyAlignment="1">
      <alignment horizontal="center" vertical="center" wrapText="1"/>
    </xf>
    <xf numFmtId="0" fontId="17" fillId="0" borderId="4" xfId="0" applyFont="1" applyBorder="1" applyAlignment="1">
      <alignment horizontal="left" vertical="center"/>
    </xf>
    <xf numFmtId="0" fontId="20" fillId="0" borderId="4" xfId="0" applyFont="1" applyBorder="1" applyAlignment="1">
      <alignment horizontal="left" vertical="center" wrapText="1"/>
    </xf>
    <xf numFmtId="0" fontId="20" fillId="0" borderId="4" xfId="0" applyFont="1" applyBorder="1" applyAlignment="1">
      <alignment horizontal="center" vertical="center" wrapText="1"/>
    </xf>
    <xf numFmtId="16" fontId="17" fillId="0" borderId="4" xfId="0" applyNumberFormat="1" applyFont="1" applyBorder="1" applyAlignment="1">
      <alignment horizontal="center" vertical="center"/>
    </xf>
    <xf numFmtId="1" fontId="17" fillId="0" borderId="4" xfId="0" applyNumberFormat="1" applyFont="1" applyBorder="1"/>
    <xf numFmtId="49" fontId="17" fillId="0" borderId="4" xfId="0" applyNumberFormat="1" applyFont="1" applyBorder="1" applyAlignment="1">
      <alignment horizontal="center" vertical="center"/>
    </xf>
    <xf numFmtId="0" fontId="17" fillId="0" borderId="4" xfId="0" applyFont="1" applyBorder="1" applyAlignment="1">
      <alignment vertical="center" wrapText="1"/>
    </xf>
    <xf numFmtId="49" fontId="17" fillId="0" borderId="4" xfId="0" applyNumberFormat="1" applyFont="1" applyBorder="1" applyAlignment="1">
      <alignment horizontal="center" vertical="center" wrapText="1"/>
    </xf>
    <xf numFmtId="0" fontId="17" fillId="0" borderId="4" xfId="0" applyFont="1" applyBorder="1" applyAlignment="1">
      <alignment horizontal="left" vertical="top" wrapText="1"/>
    </xf>
    <xf numFmtId="0" fontId="12" fillId="0" borderId="4" xfId="0" applyFont="1" applyBorder="1" applyAlignment="1">
      <alignment horizontal="left" vertical="top" wrapText="1"/>
    </xf>
    <xf numFmtId="1" fontId="23" fillId="0" borderId="4" xfId="0" applyNumberFormat="1" applyFont="1" applyBorder="1"/>
    <xf numFmtId="0" fontId="24" fillId="0" borderId="4" xfId="0" applyFont="1" applyBorder="1" applyAlignment="1">
      <alignment horizontal="left" vertical="center" wrapText="1"/>
    </xf>
    <xf numFmtId="0" fontId="21" fillId="0" borderId="4" xfId="0" applyFont="1" applyBorder="1" applyAlignment="1">
      <alignment horizontal="left" vertical="center" wrapText="1"/>
    </xf>
    <xf numFmtId="0" fontId="17" fillId="0" borderId="4" xfId="0" applyFont="1" applyBorder="1"/>
    <xf numFmtId="0" fontId="17" fillId="0" borderId="4" xfId="0" applyFont="1" applyBorder="1" applyAlignment="1">
      <alignment wrapText="1"/>
    </xf>
    <xf numFmtId="0" fontId="18" fillId="0" borderId="4" xfId="0" applyFont="1" applyBorder="1" applyAlignment="1">
      <alignment horizontal="center" vertical="center"/>
    </xf>
    <xf numFmtId="0" fontId="18" fillId="0" borderId="4" xfId="0" applyFont="1" applyBorder="1" applyAlignment="1">
      <alignment horizontal="justify" vertical="center"/>
    </xf>
    <xf numFmtId="1" fontId="17" fillId="0" borderId="4" xfId="0" applyNumberFormat="1" applyFont="1" applyBorder="1" applyAlignment="1">
      <alignment horizontal="left" vertical="center" wrapText="1"/>
    </xf>
    <xf numFmtId="1" fontId="17" fillId="0" borderId="4" xfId="0" applyNumberFormat="1" applyFont="1" applyBorder="1" applyAlignment="1">
      <alignment horizontal="center" vertical="center" wrapText="1"/>
    </xf>
    <xf numFmtId="16" fontId="17" fillId="0" borderId="4" xfId="0" applyNumberFormat="1" applyFont="1" applyBorder="1" applyAlignment="1">
      <alignment horizontal="center" vertical="center" wrapText="1"/>
    </xf>
    <xf numFmtId="0" fontId="17" fillId="0" borderId="5" xfId="0" applyFont="1" applyBorder="1" applyAlignment="1">
      <alignment vertical="center" wrapText="1"/>
    </xf>
    <xf numFmtId="0" fontId="17" fillId="0" borderId="5" xfId="0" applyFont="1" applyBorder="1" applyAlignment="1">
      <alignment horizontal="center" vertical="center" wrapText="1"/>
    </xf>
    <xf numFmtId="0" fontId="20" fillId="0" borderId="5" xfId="0" applyFont="1" applyBorder="1" applyAlignment="1">
      <alignment horizontal="left" vertical="center" wrapText="1"/>
    </xf>
    <xf numFmtId="0" fontId="12" fillId="0" borderId="5" xfId="0" applyFont="1" applyBorder="1" applyAlignment="1">
      <alignment horizontal="center" vertical="center" wrapText="1"/>
    </xf>
    <xf numFmtId="0" fontId="17" fillId="0" borderId="5" xfId="0" applyFont="1" applyBorder="1" applyAlignment="1">
      <alignment wrapText="1"/>
    </xf>
    <xf numFmtId="0" fontId="17" fillId="0" borderId="5" xfId="0" applyFont="1" applyBorder="1" applyAlignment="1">
      <alignment horizontal="center" vertical="center"/>
    </xf>
    <xf numFmtId="1" fontId="17" fillId="0" borderId="5" xfId="0" applyNumberFormat="1" applyFont="1" applyBorder="1"/>
    <xf numFmtId="1" fontId="3" fillId="0" borderId="3" xfId="0" applyNumberFormat="1" applyFont="1" applyBorder="1" applyAlignment="1">
      <alignment horizontal="center" vertical="center" wrapText="1"/>
    </xf>
    <xf numFmtId="1" fontId="16" fillId="0" borderId="48" xfId="0" applyNumberFormat="1" applyFont="1" applyBorder="1" applyAlignment="1">
      <alignment horizontal="center" vertical="center" wrapText="1"/>
    </xf>
    <xf numFmtId="0" fontId="20" fillId="0" borderId="5" xfId="0" applyFont="1" applyBorder="1" applyAlignment="1">
      <alignment horizontal="center" vertical="center" wrapText="1"/>
    </xf>
    <xf numFmtId="0" fontId="17" fillId="0" borderId="5" xfId="0" applyFont="1" applyBorder="1" applyAlignment="1">
      <alignment horizontal="left" vertical="center" wrapText="1"/>
    </xf>
    <xf numFmtId="0" fontId="0" fillId="0" borderId="0" xfId="0" applyAlignment="1">
      <alignment horizontal="center" vertical="center" wrapText="1"/>
    </xf>
    <xf numFmtId="1" fontId="12" fillId="0" borderId="48" xfId="0" applyNumberFormat="1" applyFont="1" applyBorder="1" applyAlignment="1">
      <alignment horizontal="center" vertical="center" wrapText="1"/>
    </xf>
    <xf numFmtId="1" fontId="17" fillId="0" borderId="48" xfId="0" applyNumberFormat="1" applyFont="1" applyBorder="1" applyAlignment="1">
      <alignment horizontal="center" vertical="center" wrapText="1"/>
    </xf>
    <xf numFmtId="1" fontId="17" fillId="0" borderId="48" xfId="0" applyNumberFormat="1" applyFont="1" applyBorder="1" applyAlignment="1">
      <alignment horizontal="center" vertical="center"/>
    </xf>
    <xf numFmtId="1" fontId="23" fillId="0" borderId="48" xfId="0" applyNumberFormat="1" applyFont="1" applyBorder="1" applyAlignment="1">
      <alignment horizontal="center" vertical="center"/>
    </xf>
    <xf numFmtId="1" fontId="17" fillId="0" borderId="49" xfId="0" applyNumberFormat="1" applyFont="1" applyBorder="1" applyAlignment="1">
      <alignment horizontal="center" vertical="center"/>
    </xf>
    <xf numFmtId="0" fontId="9" fillId="3" borderId="11" xfId="0" applyFont="1" applyFill="1" applyBorder="1" applyAlignment="1">
      <alignment horizontal="center" vertical="center" wrapText="1"/>
    </xf>
    <xf numFmtId="0" fontId="10" fillId="0" borderId="11"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40" xfId="0" applyFont="1" applyBorder="1" applyAlignment="1">
      <alignment horizontal="center" vertical="center" wrapText="1"/>
    </xf>
  </cellXfs>
  <cellStyles count="2">
    <cellStyle name="Bad 2" xfId="1" xr:uid="{00000000-0005-0000-0000-000006000000}"/>
    <cellStyle name="Normal" xfId="0" builtinId="0"/>
  </cellStyles>
  <dxfs count="33">
    <dxf>
      <font>
        <b val="0"/>
        <i val="0"/>
        <strike val="0"/>
        <condense val="0"/>
        <extend val="0"/>
        <outline val="0"/>
        <shadow val="0"/>
        <u val="none"/>
        <vertAlign val="baseline"/>
        <sz val="12"/>
        <color theme="1"/>
        <name val="Arial"/>
        <family val="2"/>
        <charset val="186"/>
        <scheme val="none"/>
      </font>
      <numFmt numFmtId="1" formatCode="0"/>
      <alignment horizontal="center" vertical="center" textRotation="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2"/>
        <color theme="1"/>
        <name val="Arial"/>
        <family val="2"/>
        <charset val="186"/>
        <scheme val="none"/>
      </font>
      <numFmt numFmtId="1" formatCode="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charset val="186"/>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rgb="FF000000"/>
        <name val="Arial"/>
        <family val="2"/>
        <charset val="186"/>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auto="1"/>
        <name val="Arial"/>
        <family val="2"/>
        <charset val="186"/>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auto="1"/>
        <name val="Arial"/>
        <family val="2"/>
        <charset val="186"/>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auto="1"/>
        <name val="Arial"/>
        <family val="2"/>
        <charset val="186"/>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rgb="FF000000"/>
        <name val="Arial"/>
        <family val="2"/>
        <charset val="186"/>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rgb="FF000000"/>
        <name val="Arial"/>
        <family val="2"/>
        <charset val="186"/>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charset val="186"/>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auto="1"/>
        <name val="Arial"/>
        <family val="2"/>
        <charset val="186"/>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ttom style="thin">
          <color auto="1"/>
        </bottom>
      </border>
    </dxf>
    <dxf>
      <font>
        <b val="0"/>
        <i val="0"/>
        <strike val="0"/>
        <condense val="0"/>
        <extend val="0"/>
        <outline val="0"/>
        <shadow val="0"/>
        <u val="none"/>
        <vertAlign val="baseline"/>
        <sz val="12"/>
        <color theme="1"/>
        <name val="Arial"/>
        <family val="2"/>
        <charset val="186"/>
        <scheme val="none"/>
      </font>
      <alignment horizontal="left" vertical="center" textRotation="0" wrapText="1" indent="0" justifyLastLine="0" shrinkToFit="0" readingOrder="0"/>
    </dxf>
    <dxf>
      <font>
        <b/>
        <i val="0"/>
        <strike val="0"/>
        <condense val="0"/>
        <extend val="0"/>
        <outline val="0"/>
        <shadow val="0"/>
        <u val="none"/>
        <vertAlign val="baseline"/>
        <sz val="16"/>
        <color auto="1"/>
        <name val="Arial"/>
        <family val="2"/>
        <charset val="1"/>
        <scheme val="none"/>
      </font>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6E0B4"/>
      <rgbColor rgb="FF808080"/>
      <rgbColor rgb="FF9999FF"/>
      <rgbColor rgb="FF993366"/>
      <rgbColor rgb="FFFFFFCC"/>
      <rgbColor rgb="FFDAE3F3"/>
      <rgbColor rgb="FF660066"/>
      <rgbColor rgb="FFFF8080"/>
      <rgbColor rgb="FF0066CC"/>
      <rgbColor rgb="FFBDD7EE"/>
      <rgbColor rgb="FF000080"/>
      <rgbColor rgb="FFFF00FF"/>
      <rgbColor rgb="FFFFFF00"/>
      <rgbColor rgb="FF00FFFF"/>
      <rgbColor rgb="FF800080"/>
      <rgbColor rgb="FFC00000"/>
      <rgbColor rgb="FF008080"/>
      <rgbColor rgb="FF0000FF"/>
      <rgbColor rgb="FF00CCFF"/>
      <rgbColor rgb="FFCCFFFF"/>
      <rgbColor rgb="FF99FFCC"/>
      <rgbColor rgb="FFFFFF99"/>
      <rgbColor rgb="FF99CCFF"/>
      <rgbColor rgb="FFFF99CC"/>
      <rgbColor rgb="FFCC99FF"/>
      <rgbColor rgb="FFFFC7CE"/>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3C3BD5-C62C-48E5-88CE-5E1F8C585DA9}" name="Table1" displayName="Table1" ref="A1:AD320" totalsRowShown="0" headerRowDxfId="32" dataDxfId="31" tableBorderDxfId="30">
  <autoFilter ref="A1:AD320" xr:uid="{203C3BD5-C62C-48E5-88CE-5E1F8C585DA9}">
    <filterColumn colId="2">
      <filters>
        <filter val="1"/>
        <filter val="2"/>
        <filter val="3"/>
        <filter val="4"/>
        <filter val="5"/>
        <filter val="6"/>
        <filter val="7"/>
        <filter val="8"/>
        <filter val="9"/>
      </filters>
    </filterColumn>
  </autoFilter>
  <tableColumns count="30">
    <tableColumn id="1" xr3:uid="{354C1BD8-0AFA-4B64-9549-E39A14A3D0EC}" name="S/N" dataDxfId="29"/>
    <tableColumn id="2" xr3:uid="{9B36317E-572B-4D21-A6DC-120F89314C2C}" name="Hüquqi aktın adı" dataDxfId="28"/>
    <tableColumn id="3" xr3:uid="{B95342AF-DA4D-41E8-9920-A9E8634F9E1F}" name="Bənd" dataDxfId="27"/>
    <tableColumn id="4" xr3:uid="{F218B653-E78A-46C5-8A39-E080F08053EA}" name="Tədbirin adı" dataDxfId="26"/>
    <tableColumn id="5" xr3:uid="{66CE772B-F2E1-4B94-B90D-8BB0676ED08E}" name="Alt tədbirin adı" dataDxfId="25"/>
    <tableColumn id="6" xr3:uid="{7A46AC14-D973-4156-AE79-5C15667C52FC}" name="İcra müddəti" dataDxfId="24"/>
    <tableColumn id="7" xr3:uid="{0D60C7D5-29B1-4774-BED3-CDED431ACFFC}" name="Hüquqi akt üzrə icraçı" dataDxfId="23"/>
    <tableColumn id="8" xr3:uid="{35B443DF-641F-48B3-B1A9-8C8A4030D139}" name="Hüquqi akt üzrə Nazirliyin icraçı statusu" dataDxfId="22"/>
    <tableColumn id="9" xr3:uid="{4E61354D-BB46-4D86-80FC-7D0DD6DDB8D3}" name="Nazirlik üzrə icraçı" dataDxfId="21"/>
    <tableColumn id="10" xr3:uid="{CE1F2997-758A-41E3-8DCF-77DCAF33F4F0}" name="Nazirlik üzrə Agentliyin icraçı statusu" dataDxfId="20"/>
    <tableColumn id="11" xr3:uid="{E96211DA-BCFF-4B2A-BA48-1E4ED1D412A0}" name="Hesabatlılığın təmin olunması üzrə" dataDxfId="19"/>
    <tableColumn id="12" xr3:uid="{91041514-DA8F-4656-96B3-D3883FE03E91}" name="Agentlik üzrə məsul bölmə" dataDxfId="18"/>
    <tableColumn id="13" xr3:uid="{AEE69937-CBE8-4CD7-9246-D183AD964249}" name="İndikator" dataDxfId="17"/>
    <tableColumn id="14" xr3:uid="{91FC717B-CE9B-4D4B-A3B2-A152FCEC59C6}" name="Nəticə göstəricisi" dataDxfId="16"/>
    <tableColumn id="15" xr3:uid="{0EB91B99-F65D-472E-9F2B-F1D10DC45CF5}" name="Maliyyə yükü " dataDxfId="15"/>
    <tableColumn id="16" xr3:uid="{EE0516CD-D4AD-42ED-8A02-CEE9536C5B38}" name="1-ci rüb plan" dataDxfId="14"/>
    <tableColumn id="17" xr3:uid="{AE8BBB6A-0396-4F37-9911-A102D588FCE8}" name="1-ci rüb faktiki görülmüş iş (Monitorinq zamanı)" dataDxfId="13"/>
    <tableColumn id="18" xr3:uid="{7D077715-0E16-4694-9349-B51BA328BBA7}" name="2-ci rüb plan" dataDxfId="12"/>
    <tableColumn id="19" xr3:uid="{5E76116A-5BE9-4C9A-B225-5CC9C867AD6F}" name="2-ci rüb faktiki görülmüş iş (Monitorinq zamanı)" dataDxfId="11"/>
    <tableColumn id="20" xr3:uid="{4207793C-0E7A-4871-B35A-F0503C3D0DF0}" name="3-cü rüb plan" dataDxfId="10"/>
    <tableColumn id="21" xr3:uid="{5BE657E7-9489-44EE-8F69-556985867A71}" name="3-cü rüb faktiki görülmüş iş (Monitorinq zamanı)" dataDxfId="9"/>
    <tableColumn id="22" xr3:uid="{DDDF624F-D591-4ACE-97B1-CE2ECD929E19}" name="4-cü rüb plan" dataDxfId="8"/>
    <tableColumn id="23" xr3:uid="{6E669D1E-C477-4876-B96C-E6740B4306EB}" name="4-cü rüb faktiki görülmüş iş (Monitorinq zamanı)" dataDxfId="7"/>
    <tableColumn id="24" xr3:uid="{F20F482A-9C40-49AC-94CE-0F01B1913C94}" name="I rüb üzrə" dataDxfId="6"/>
    <tableColumn id="25" xr3:uid="{2E5197F4-5903-4510-9EE9-2E90A8C46801}" name="II rüb üzrə" dataDxfId="5"/>
    <tableColumn id="26" xr3:uid="{89E4A026-DE9A-4078-AA18-EF11CDC207F9}" name="Yarımillik" dataDxfId="4"/>
    <tableColumn id="27" xr3:uid="{B8C832E4-1B8A-43EF-A750-829B11F49029}" name="III rüb üzrə" dataDxfId="3"/>
    <tableColumn id="28" xr3:uid="{B2454FBD-5BE9-4B7E-9A22-F412A833A843}" name="IV rüb üzrə" dataDxfId="2"/>
    <tableColumn id="29" xr3:uid="{2D63EB09-0B50-4C14-866E-EFE3A378118D}" name="İllik" dataDxfId="1"/>
    <tableColumn id="30" xr3:uid="{8E9341BC-DBCC-4CC0-B2DB-C791D6907DE5}" name="Əlavə edilmə rübü"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320"/>
  <sheetViews>
    <sheetView tabSelected="1" zoomScale="55" zoomScaleNormal="55" workbookViewId="0">
      <selection activeCell="A86" sqref="A86"/>
    </sheetView>
  </sheetViews>
  <sheetFormatPr defaultColWidth="8.6640625" defaultRowHeight="15.75" customHeight="1" x14ac:dyDescent="0.3"/>
  <cols>
    <col min="1" max="1" width="14.109375" customWidth="1"/>
    <col min="2" max="2" width="57.6640625" customWidth="1"/>
    <col min="3" max="3" width="14.5546875" style="3" customWidth="1"/>
    <col min="4" max="5" width="57.6640625" style="4" customWidth="1"/>
    <col min="6" max="6" width="22.109375" style="5" customWidth="1"/>
    <col min="7" max="7" width="52.5546875" style="4" customWidth="1"/>
    <col min="8" max="8" width="55.33203125" style="4" customWidth="1"/>
    <col min="9" max="9" width="41.88671875" style="4" customWidth="1"/>
    <col min="10" max="10" width="51.88671875" style="4" customWidth="1"/>
    <col min="11" max="11" width="48.33203125" style="4" customWidth="1"/>
    <col min="12" max="12" width="43.109375" style="4" customWidth="1"/>
    <col min="13" max="13" width="26.44140625" style="3" customWidth="1"/>
    <col min="14" max="14" width="28.33203125" style="3" customWidth="1"/>
    <col min="15" max="16" width="26.44140625" style="3" customWidth="1"/>
    <col min="17" max="17" width="82.44140625" style="3" customWidth="1"/>
    <col min="18" max="18" width="26.44140625" style="3" customWidth="1"/>
    <col min="19" max="19" width="82.44140625" style="3" customWidth="1"/>
    <col min="20" max="20" width="28.33203125" style="3" customWidth="1"/>
    <col min="21" max="21" width="82.44140625" style="3" customWidth="1"/>
    <col min="22" max="22" width="33.33203125" style="3" customWidth="1"/>
    <col min="23" max="23" width="82.44140625" style="3" customWidth="1"/>
    <col min="24" max="24" width="18.6640625" style="4" customWidth="1"/>
    <col min="25" max="26" width="18.6640625" style="3" customWidth="1"/>
    <col min="27" max="27" width="19.5546875" style="4" customWidth="1"/>
    <col min="28" max="28" width="19.6640625" style="4" customWidth="1"/>
    <col min="29" max="29" width="18.6640625" style="4" customWidth="1"/>
    <col min="30" max="30" width="29.109375" style="4" customWidth="1"/>
  </cols>
  <sheetData>
    <row r="1" spans="1:30" s="6" customFormat="1" ht="99.75" customHeight="1" x14ac:dyDescent="0.4">
      <c r="A1" s="10" t="s">
        <v>0</v>
      </c>
      <c r="B1" s="11" t="s">
        <v>1</v>
      </c>
      <c r="C1" s="11" t="s">
        <v>2</v>
      </c>
      <c r="D1" s="11" t="s">
        <v>3</v>
      </c>
      <c r="E1" s="11" t="s">
        <v>4</v>
      </c>
      <c r="F1" s="11" t="s">
        <v>5</v>
      </c>
      <c r="G1" s="11" t="s">
        <v>6</v>
      </c>
      <c r="H1" s="12" t="s">
        <v>7</v>
      </c>
      <c r="I1" s="11" t="s">
        <v>8</v>
      </c>
      <c r="J1" s="12" t="s">
        <v>9</v>
      </c>
      <c r="K1" s="12"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87" t="s">
        <v>28</v>
      </c>
      <c r="AD1" s="142" t="s">
        <v>29</v>
      </c>
    </row>
    <row r="2" spans="1:30" s="6" customFormat="1" ht="99.75" hidden="1" customHeight="1" x14ac:dyDescent="0.4">
      <c r="A2" s="88">
        <v>1</v>
      </c>
      <c r="B2" s="88" t="s">
        <v>30</v>
      </c>
      <c r="C2" s="88" t="s">
        <v>31</v>
      </c>
      <c r="D2" s="88" t="s">
        <v>32</v>
      </c>
      <c r="E2" s="88"/>
      <c r="F2" s="88" t="s">
        <v>33</v>
      </c>
      <c r="G2" s="88" t="s">
        <v>34</v>
      </c>
      <c r="H2" s="88" t="s">
        <v>35</v>
      </c>
      <c r="I2" s="88" t="s">
        <v>36</v>
      </c>
      <c r="J2" s="88" t="s">
        <v>37</v>
      </c>
      <c r="K2" s="88" t="s">
        <v>38</v>
      </c>
      <c r="L2" s="88" t="s">
        <v>39</v>
      </c>
      <c r="M2" s="89" t="s">
        <v>40</v>
      </c>
      <c r="N2" s="90">
        <v>30</v>
      </c>
      <c r="O2" s="90"/>
      <c r="P2" s="90">
        <v>7</v>
      </c>
      <c r="Q2" s="91">
        <v>6</v>
      </c>
      <c r="R2" s="90">
        <v>5</v>
      </c>
      <c r="S2" s="88" t="s">
        <v>41</v>
      </c>
      <c r="T2" s="90">
        <v>6</v>
      </c>
      <c r="U2" s="90"/>
      <c r="V2" s="90">
        <v>7</v>
      </c>
      <c r="W2" s="88"/>
      <c r="X2" s="92" t="s">
        <v>42</v>
      </c>
      <c r="Y2" s="88" t="s">
        <v>43</v>
      </c>
      <c r="Z2" s="88"/>
      <c r="AA2" s="92" t="s">
        <v>42</v>
      </c>
      <c r="AB2" s="88" t="s">
        <v>43</v>
      </c>
      <c r="AC2" s="93"/>
      <c r="AD2" s="147">
        <v>1</v>
      </c>
    </row>
    <row r="3" spans="1:30" s="6" customFormat="1" ht="140.25" hidden="1" customHeight="1" x14ac:dyDescent="0.4">
      <c r="A3" s="88">
        <v>2</v>
      </c>
      <c r="B3" s="88" t="s">
        <v>30</v>
      </c>
      <c r="C3" s="88" t="s">
        <v>44</v>
      </c>
      <c r="D3" s="88" t="s">
        <v>45</v>
      </c>
      <c r="E3" s="88"/>
      <c r="F3" s="88" t="s">
        <v>33</v>
      </c>
      <c r="G3" s="88" t="s">
        <v>34</v>
      </c>
      <c r="H3" s="88" t="s">
        <v>35</v>
      </c>
      <c r="I3" s="88" t="s">
        <v>46</v>
      </c>
      <c r="J3" s="88" t="s">
        <v>35</v>
      </c>
      <c r="K3" s="88" t="s">
        <v>38</v>
      </c>
      <c r="L3" s="88" t="s">
        <v>47</v>
      </c>
      <c r="M3" s="88" t="s">
        <v>48</v>
      </c>
      <c r="N3" s="88">
        <v>25</v>
      </c>
      <c r="O3" s="88"/>
      <c r="P3" s="88">
        <v>4</v>
      </c>
      <c r="Q3" s="94">
        <v>18</v>
      </c>
      <c r="R3" s="88">
        <v>7</v>
      </c>
      <c r="S3" s="88" t="s">
        <v>49</v>
      </c>
      <c r="T3" s="88">
        <v>7</v>
      </c>
      <c r="U3" s="88"/>
      <c r="V3" s="88">
        <v>5</v>
      </c>
      <c r="W3" s="88"/>
      <c r="X3" s="92" t="s">
        <v>42</v>
      </c>
      <c r="Y3" s="88" t="s">
        <v>42</v>
      </c>
      <c r="Z3" s="88"/>
      <c r="AA3" s="92" t="s">
        <v>42</v>
      </c>
      <c r="AB3" s="88" t="s">
        <v>42</v>
      </c>
      <c r="AC3" s="93"/>
      <c r="AD3" s="147">
        <v>1</v>
      </c>
    </row>
    <row r="4" spans="1:30" s="6" customFormat="1" ht="150.75" hidden="1" customHeight="1" x14ac:dyDescent="0.4">
      <c r="A4" s="88">
        <v>3</v>
      </c>
      <c r="B4" s="88" t="s">
        <v>30</v>
      </c>
      <c r="C4" s="88" t="s">
        <v>50</v>
      </c>
      <c r="D4" s="88" t="s">
        <v>51</v>
      </c>
      <c r="E4" s="88"/>
      <c r="F4" s="88" t="s">
        <v>33</v>
      </c>
      <c r="G4" s="88" t="s">
        <v>34</v>
      </c>
      <c r="H4" s="88" t="s">
        <v>37</v>
      </c>
      <c r="I4" s="88" t="s">
        <v>52</v>
      </c>
      <c r="J4" s="88" t="s">
        <v>35</v>
      </c>
      <c r="K4" s="88" t="s">
        <v>38</v>
      </c>
      <c r="L4" s="88" t="s">
        <v>53</v>
      </c>
      <c r="M4" s="88" t="s">
        <v>54</v>
      </c>
      <c r="N4" s="88" t="s">
        <v>55</v>
      </c>
      <c r="O4" s="88" t="s">
        <v>56</v>
      </c>
      <c r="P4" s="88" t="s">
        <v>57</v>
      </c>
      <c r="Q4" s="88" t="s">
        <v>58</v>
      </c>
      <c r="R4" s="88" t="s">
        <v>59</v>
      </c>
      <c r="S4" s="88" t="s">
        <v>60</v>
      </c>
      <c r="T4" s="88" t="s">
        <v>61</v>
      </c>
      <c r="U4" s="88"/>
      <c r="V4" s="88" t="s">
        <v>62</v>
      </c>
      <c r="W4" s="88"/>
      <c r="X4" s="92" t="s">
        <v>43</v>
      </c>
      <c r="Y4" s="88" t="s">
        <v>43</v>
      </c>
      <c r="Z4" s="88"/>
      <c r="AA4" s="92" t="s">
        <v>43</v>
      </c>
      <c r="AB4" s="88" t="s">
        <v>43</v>
      </c>
      <c r="AC4" s="93"/>
      <c r="AD4" s="147">
        <v>1</v>
      </c>
    </row>
    <row r="5" spans="1:30" s="6" customFormat="1" ht="158.25" hidden="1" customHeight="1" x14ac:dyDescent="0.4">
      <c r="A5" s="88">
        <v>4</v>
      </c>
      <c r="B5" s="88" t="s">
        <v>30</v>
      </c>
      <c r="C5" s="88" t="s">
        <v>63</v>
      </c>
      <c r="D5" s="88" t="s">
        <v>64</v>
      </c>
      <c r="E5" s="88"/>
      <c r="F5" s="88" t="s">
        <v>33</v>
      </c>
      <c r="G5" s="88" t="s">
        <v>34</v>
      </c>
      <c r="H5" s="88" t="s">
        <v>35</v>
      </c>
      <c r="I5" s="88" t="s">
        <v>65</v>
      </c>
      <c r="J5" s="88" t="s">
        <v>35</v>
      </c>
      <c r="K5" s="88" t="s">
        <v>38</v>
      </c>
      <c r="L5" s="88" t="s">
        <v>66</v>
      </c>
      <c r="M5" s="88"/>
      <c r="N5" s="88"/>
      <c r="O5" s="88"/>
      <c r="P5" s="88"/>
      <c r="Q5" s="94" t="s">
        <v>67</v>
      </c>
      <c r="R5" s="88"/>
      <c r="S5" s="88" t="s">
        <v>68</v>
      </c>
      <c r="T5" s="88"/>
      <c r="U5" s="95"/>
      <c r="V5" s="88"/>
      <c r="W5" s="88"/>
      <c r="X5" s="92" t="s">
        <v>43</v>
      </c>
      <c r="Y5" s="88" t="s">
        <v>43</v>
      </c>
      <c r="Z5" s="88"/>
      <c r="AA5" s="92" t="s">
        <v>43</v>
      </c>
      <c r="AB5" s="88" t="s">
        <v>43</v>
      </c>
      <c r="AC5" s="93"/>
      <c r="AD5" s="147">
        <v>1</v>
      </c>
    </row>
    <row r="6" spans="1:30" s="6" customFormat="1" ht="280.5" hidden="1" customHeight="1" x14ac:dyDescent="0.4">
      <c r="A6" s="88">
        <v>5</v>
      </c>
      <c r="B6" s="88" t="s">
        <v>30</v>
      </c>
      <c r="C6" s="88" t="s">
        <v>69</v>
      </c>
      <c r="D6" s="88" t="s">
        <v>70</v>
      </c>
      <c r="E6" s="88"/>
      <c r="F6" s="88" t="s">
        <v>33</v>
      </c>
      <c r="G6" s="88" t="s">
        <v>34</v>
      </c>
      <c r="H6" s="88" t="s">
        <v>35</v>
      </c>
      <c r="I6" s="88" t="s">
        <v>71</v>
      </c>
      <c r="J6" s="88" t="s">
        <v>37</v>
      </c>
      <c r="K6" s="88" t="s">
        <v>38</v>
      </c>
      <c r="L6" s="88" t="s">
        <v>72</v>
      </c>
      <c r="M6" s="88" t="s">
        <v>40</v>
      </c>
      <c r="N6" s="88">
        <v>81</v>
      </c>
      <c r="O6" s="88"/>
      <c r="P6" s="96">
        <v>10</v>
      </c>
      <c r="Q6" s="94" t="s">
        <v>73</v>
      </c>
      <c r="R6" s="96">
        <v>14</v>
      </c>
      <c r="S6" s="88" t="s">
        <v>74</v>
      </c>
      <c r="T6" s="96">
        <v>20</v>
      </c>
      <c r="U6" s="88"/>
      <c r="V6" s="96">
        <v>9</v>
      </c>
      <c r="W6" s="88"/>
      <c r="X6" s="92" t="s">
        <v>42</v>
      </c>
      <c r="Y6" s="88" t="s">
        <v>75</v>
      </c>
      <c r="Z6" s="88"/>
      <c r="AA6" s="92" t="s">
        <v>42</v>
      </c>
      <c r="AB6" s="88" t="s">
        <v>75</v>
      </c>
      <c r="AC6" s="93"/>
      <c r="AD6" s="147">
        <v>1</v>
      </c>
    </row>
    <row r="7" spans="1:30" s="6" customFormat="1" ht="153" hidden="1" customHeight="1" x14ac:dyDescent="0.4">
      <c r="A7" s="88">
        <v>6</v>
      </c>
      <c r="B7" s="88" t="s">
        <v>30</v>
      </c>
      <c r="C7" s="88" t="s">
        <v>76</v>
      </c>
      <c r="D7" s="88" t="s">
        <v>77</v>
      </c>
      <c r="E7" s="88"/>
      <c r="F7" s="88" t="s">
        <v>33</v>
      </c>
      <c r="G7" s="88" t="s">
        <v>34</v>
      </c>
      <c r="H7" s="88" t="s">
        <v>35</v>
      </c>
      <c r="I7" s="88" t="s">
        <v>65</v>
      </c>
      <c r="J7" s="88" t="s">
        <v>35</v>
      </c>
      <c r="K7" s="88" t="s">
        <v>38</v>
      </c>
      <c r="L7" s="88" t="s">
        <v>78</v>
      </c>
      <c r="M7" s="88"/>
      <c r="N7" s="88"/>
      <c r="O7" s="88"/>
      <c r="P7" s="88"/>
      <c r="Q7" s="94">
        <v>8</v>
      </c>
      <c r="R7" s="88"/>
      <c r="S7" s="88"/>
      <c r="T7" s="88"/>
      <c r="U7" s="88"/>
      <c r="V7" s="88"/>
      <c r="W7" s="88"/>
      <c r="X7" s="92" t="s">
        <v>43</v>
      </c>
      <c r="Y7" s="88" t="s">
        <v>79</v>
      </c>
      <c r="Z7" s="88"/>
      <c r="AA7" s="92" t="s">
        <v>43</v>
      </c>
      <c r="AB7" s="88" t="s">
        <v>79</v>
      </c>
      <c r="AC7" s="93"/>
      <c r="AD7" s="147">
        <v>1</v>
      </c>
    </row>
    <row r="8" spans="1:30" s="6" customFormat="1" ht="165.75" hidden="1" customHeight="1" x14ac:dyDescent="0.4">
      <c r="A8" s="88">
        <v>7</v>
      </c>
      <c r="B8" s="88" t="s">
        <v>30</v>
      </c>
      <c r="C8" s="88" t="s">
        <v>80</v>
      </c>
      <c r="D8" s="88" t="s">
        <v>81</v>
      </c>
      <c r="E8" s="88"/>
      <c r="F8" s="88" t="s">
        <v>33</v>
      </c>
      <c r="G8" s="88" t="s">
        <v>34</v>
      </c>
      <c r="H8" s="88" t="s">
        <v>35</v>
      </c>
      <c r="I8" s="88" t="s">
        <v>82</v>
      </c>
      <c r="J8" s="88" t="s">
        <v>35</v>
      </c>
      <c r="K8" s="88" t="s">
        <v>38</v>
      </c>
      <c r="L8" s="88" t="s">
        <v>83</v>
      </c>
      <c r="M8" s="88"/>
      <c r="N8" s="88">
        <v>318</v>
      </c>
      <c r="O8" s="88"/>
      <c r="P8" s="88">
        <v>74</v>
      </c>
      <c r="Q8" s="97" t="s">
        <v>84</v>
      </c>
      <c r="R8" s="88">
        <v>54</v>
      </c>
      <c r="S8" s="88" t="s">
        <v>85</v>
      </c>
      <c r="T8" s="88">
        <v>50</v>
      </c>
      <c r="U8" s="88"/>
      <c r="V8" s="88">
        <v>60</v>
      </c>
      <c r="W8" s="88"/>
      <c r="X8" s="92" t="s">
        <v>43</v>
      </c>
      <c r="Y8" s="88" t="s">
        <v>43</v>
      </c>
      <c r="Z8" s="88"/>
      <c r="AA8" s="92" t="s">
        <v>43</v>
      </c>
      <c r="AB8" s="88" t="s">
        <v>43</v>
      </c>
      <c r="AC8" s="93"/>
      <c r="AD8" s="147">
        <v>1</v>
      </c>
    </row>
    <row r="9" spans="1:30" s="6" customFormat="1" ht="162" hidden="1" customHeight="1" x14ac:dyDescent="0.4">
      <c r="A9" s="88">
        <v>8</v>
      </c>
      <c r="B9" s="88" t="s">
        <v>30</v>
      </c>
      <c r="C9" s="88" t="s">
        <v>86</v>
      </c>
      <c r="D9" s="88" t="s">
        <v>87</v>
      </c>
      <c r="E9" s="88"/>
      <c r="F9" s="88" t="s">
        <v>33</v>
      </c>
      <c r="G9" s="88" t="s">
        <v>34</v>
      </c>
      <c r="H9" s="88" t="s">
        <v>37</v>
      </c>
      <c r="I9" s="88" t="s">
        <v>82</v>
      </c>
      <c r="J9" s="88" t="s">
        <v>37</v>
      </c>
      <c r="K9" s="88" t="s">
        <v>38</v>
      </c>
      <c r="L9" s="88" t="s">
        <v>83</v>
      </c>
      <c r="M9" s="88"/>
      <c r="N9" s="88">
        <v>238</v>
      </c>
      <c r="O9" s="88"/>
      <c r="P9" s="88">
        <v>40</v>
      </c>
      <c r="Q9" s="97" t="s">
        <v>88</v>
      </c>
      <c r="R9" s="88">
        <v>55</v>
      </c>
      <c r="S9" s="88" t="s">
        <v>74</v>
      </c>
      <c r="T9" s="88">
        <v>28</v>
      </c>
      <c r="U9" s="88"/>
      <c r="V9" s="88">
        <v>61</v>
      </c>
      <c r="W9" s="88"/>
      <c r="X9" s="92" t="s">
        <v>43</v>
      </c>
      <c r="Y9" s="88" t="s">
        <v>42</v>
      </c>
      <c r="Z9" s="88"/>
      <c r="AA9" s="92" t="s">
        <v>43</v>
      </c>
      <c r="AB9" s="88" t="s">
        <v>42</v>
      </c>
      <c r="AC9" s="93"/>
      <c r="AD9" s="147">
        <v>1</v>
      </c>
    </row>
    <row r="10" spans="1:30" s="6" customFormat="1" ht="158.25" hidden="1" customHeight="1" x14ac:dyDescent="0.4">
      <c r="A10" s="88">
        <v>9</v>
      </c>
      <c r="B10" s="88" t="s">
        <v>30</v>
      </c>
      <c r="C10" s="88" t="s">
        <v>89</v>
      </c>
      <c r="D10" s="88" t="s">
        <v>90</v>
      </c>
      <c r="E10" s="88"/>
      <c r="F10" s="88" t="s">
        <v>33</v>
      </c>
      <c r="G10" s="88" t="s">
        <v>34</v>
      </c>
      <c r="H10" s="88" t="s">
        <v>35</v>
      </c>
      <c r="I10" s="88" t="s">
        <v>82</v>
      </c>
      <c r="J10" s="88" t="s">
        <v>37</v>
      </c>
      <c r="K10" s="88" t="s">
        <v>38</v>
      </c>
      <c r="L10" s="88" t="s">
        <v>83</v>
      </c>
      <c r="M10" s="88"/>
      <c r="N10" s="88">
        <v>1</v>
      </c>
      <c r="O10" s="88"/>
      <c r="P10" s="88">
        <v>1</v>
      </c>
      <c r="Q10" s="98" t="s">
        <v>74</v>
      </c>
      <c r="R10" s="88">
        <v>1</v>
      </c>
      <c r="S10" s="88">
        <v>1</v>
      </c>
      <c r="T10" s="88">
        <v>1</v>
      </c>
      <c r="U10" s="88"/>
      <c r="V10" s="88">
        <v>1</v>
      </c>
      <c r="W10" s="88"/>
      <c r="X10" s="92" t="s">
        <v>42</v>
      </c>
      <c r="Y10" s="88" t="s">
        <v>91</v>
      </c>
      <c r="Z10" s="88"/>
      <c r="AA10" s="92" t="s">
        <v>42</v>
      </c>
      <c r="AB10" s="88" t="s">
        <v>91</v>
      </c>
      <c r="AC10" s="93"/>
      <c r="AD10" s="147">
        <v>1</v>
      </c>
    </row>
    <row r="11" spans="1:30" s="6" customFormat="1" ht="176.25" hidden="1" customHeight="1" x14ac:dyDescent="0.4">
      <c r="A11" s="88">
        <v>10</v>
      </c>
      <c r="B11" s="88" t="s">
        <v>30</v>
      </c>
      <c r="C11" s="88" t="s">
        <v>92</v>
      </c>
      <c r="D11" s="88" t="s">
        <v>93</v>
      </c>
      <c r="E11" s="88"/>
      <c r="F11" s="88" t="s">
        <v>33</v>
      </c>
      <c r="G11" s="88" t="s">
        <v>34</v>
      </c>
      <c r="H11" s="88" t="s">
        <v>37</v>
      </c>
      <c r="I11" s="88" t="s">
        <v>82</v>
      </c>
      <c r="J11" s="88" t="s">
        <v>37</v>
      </c>
      <c r="K11" s="88" t="s">
        <v>145</v>
      </c>
      <c r="L11" s="88" t="s">
        <v>83</v>
      </c>
      <c r="M11" s="88"/>
      <c r="N11" s="88">
        <v>1245</v>
      </c>
      <c r="O11" s="88"/>
      <c r="P11" s="88">
        <v>151</v>
      </c>
      <c r="Q11" s="97" t="s">
        <v>94</v>
      </c>
      <c r="R11" s="88">
        <v>415</v>
      </c>
      <c r="S11" s="88" t="s">
        <v>95</v>
      </c>
      <c r="T11" s="88">
        <v>180</v>
      </c>
      <c r="U11" s="88"/>
      <c r="V11" s="88">
        <v>413</v>
      </c>
      <c r="W11" s="88"/>
      <c r="X11" s="92" t="s">
        <v>43</v>
      </c>
      <c r="Y11" s="88" t="s">
        <v>43</v>
      </c>
      <c r="Z11" s="88"/>
      <c r="AA11" s="92" t="s">
        <v>43</v>
      </c>
      <c r="AB11" s="88" t="s">
        <v>43</v>
      </c>
      <c r="AC11" s="93"/>
      <c r="AD11" s="147">
        <v>1</v>
      </c>
    </row>
    <row r="12" spans="1:30" s="6" customFormat="1" ht="165.75" hidden="1" customHeight="1" x14ac:dyDescent="0.4">
      <c r="A12" s="88">
        <v>11</v>
      </c>
      <c r="B12" s="88" t="s">
        <v>30</v>
      </c>
      <c r="C12" s="88" t="s">
        <v>96</v>
      </c>
      <c r="D12" s="88" t="s">
        <v>97</v>
      </c>
      <c r="E12" s="88"/>
      <c r="F12" s="88" t="s">
        <v>33</v>
      </c>
      <c r="G12" s="88" t="s">
        <v>34</v>
      </c>
      <c r="H12" s="88" t="s">
        <v>35</v>
      </c>
      <c r="I12" s="88" t="s">
        <v>82</v>
      </c>
      <c r="J12" s="88" t="s">
        <v>37</v>
      </c>
      <c r="K12" s="88" t="s">
        <v>38</v>
      </c>
      <c r="L12" s="88" t="s">
        <v>83</v>
      </c>
      <c r="M12" s="88"/>
      <c r="N12" s="88">
        <v>7</v>
      </c>
      <c r="O12" s="88"/>
      <c r="P12" s="88">
        <v>2</v>
      </c>
      <c r="Q12" s="97" t="s">
        <v>98</v>
      </c>
      <c r="R12" s="88">
        <v>1</v>
      </c>
      <c r="S12" s="88" t="s">
        <v>99</v>
      </c>
      <c r="T12" s="88">
        <v>1</v>
      </c>
      <c r="U12" s="88"/>
      <c r="V12" s="88">
        <v>2</v>
      </c>
      <c r="W12" s="88"/>
      <c r="X12" s="92" t="s">
        <v>43</v>
      </c>
      <c r="Y12" s="88" t="s">
        <v>43</v>
      </c>
      <c r="Z12" s="88"/>
      <c r="AA12" s="92" t="s">
        <v>43</v>
      </c>
      <c r="AB12" s="88" t="s">
        <v>43</v>
      </c>
      <c r="AC12" s="93"/>
      <c r="AD12" s="147">
        <v>1</v>
      </c>
    </row>
    <row r="13" spans="1:30" s="6" customFormat="1" ht="177" hidden="1" customHeight="1" x14ac:dyDescent="0.4">
      <c r="A13" s="88">
        <v>12</v>
      </c>
      <c r="B13" s="88" t="s">
        <v>30</v>
      </c>
      <c r="C13" s="88" t="s">
        <v>100</v>
      </c>
      <c r="D13" s="88" t="s">
        <v>101</v>
      </c>
      <c r="E13" s="88"/>
      <c r="F13" s="88" t="s">
        <v>33</v>
      </c>
      <c r="G13" s="88" t="s">
        <v>34</v>
      </c>
      <c r="H13" s="88" t="s">
        <v>35</v>
      </c>
      <c r="I13" s="88" t="s">
        <v>82</v>
      </c>
      <c r="J13" s="88" t="s">
        <v>35</v>
      </c>
      <c r="K13" s="88" t="s">
        <v>145</v>
      </c>
      <c r="L13" s="88" t="s">
        <v>83</v>
      </c>
      <c r="M13" s="88"/>
      <c r="N13" s="88"/>
      <c r="O13" s="88"/>
      <c r="P13" s="88"/>
      <c r="Q13" s="97" t="s">
        <v>102</v>
      </c>
      <c r="R13" s="88"/>
      <c r="S13" s="88"/>
      <c r="T13" s="88"/>
      <c r="U13" s="88"/>
      <c r="V13" s="88"/>
      <c r="W13" s="88"/>
      <c r="X13" s="92" t="s">
        <v>43</v>
      </c>
      <c r="Y13" s="88" t="s">
        <v>79</v>
      </c>
      <c r="Z13" s="88"/>
      <c r="AA13" s="92" t="s">
        <v>43</v>
      </c>
      <c r="AB13" s="88" t="s">
        <v>79</v>
      </c>
      <c r="AC13" s="93"/>
      <c r="AD13" s="147">
        <v>1</v>
      </c>
    </row>
    <row r="14" spans="1:30" s="6" customFormat="1" ht="177" hidden="1" customHeight="1" x14ac:dyDescent="0.4">
      <c r="A14" s="88">
        <v>13</v>
      </c>
      <c r="B14" s="88" t="s">
        <v>30</v>
      </c>
      <c r="C14" s="88" t="s">
        <v>103</v>
      </c>
      <c r="D14" s="99" t="s">
        <v>104</v>
      </c>
      <c r="E14" s="88"/>
      <c r="F14" s="88" t="s">
        <v>33</v>
      </c>
      <c r="G14" s="88" t="s">
        <v>34</v>
      </c>
      <c r="H14" s="88" t="s">
        <v>35</v>
      </c>
      <c r="I14" s="88" t="s">
        <v>82</v>
      </c>
      <c r="J14" s="88" t="s">
        <v>37</v>
      </c>
      <c r="K14" s="88" t="s">
        <v>145</v>
      </c>
      <c r="L14" s="88" t="s">
        <v>83</v>
      </c>
      <c r="M14" s="88"/>
      <c r="N14" s="88">
        <v>474</v>
      </c>
      <c r="O14" s="88"/>
      <c r="P14" s="88">
        <v>151</v>
      </c>
      <c r="Q14" s="97" t="s">
        <v>98</v>
      </c>
      <c r="R14" s="88">
        <v>124</v>
      </c>
      <c r="S14" s="88" t="s">
        <v>105</v>
      </c>
      <c r="T14" s="88">
        <v>86</v>
      </c>
      <c r="U14" s="88"/>
      <c r="V14" s="88">
        <v>107</v>
      </c>
      <c r="W14" s="88"/>
      <c r="X14" s="92" t="s">
        <v>43</v>
      </c>
      <c r="Y14" s="88" t="s">
        <v>43</v>
      </c>
      <c r="Z14" s="88"/>
      <c r="AA14" s="92" t="s">
        <v>43</v>
      </c>
      <c r="AB14" s="88" t="s">
        <v>43</v>
      </c>
      <c r="AC14" s="93"/>
      <c r="AD14" s="147">
        <v>1</v>
      </c>
    </row>
    <row r="15" spans="1:30" s="6" customFormat="1" ht="177" hidden="1" customHeight="1" x14ac:dyDescent="0.4">
      <c r="A15" s="88">
        <v>14</v>
      </c>
      <c r="B15" s="88" t="s">
        <v>30</v>
      </c>
      <c r="C15" s="88" t="s">
        <v>106</v>
      </c>
      <c r="D15" s="92" t="s">
        <v>107</v>
      </c>
      <c r="E15" s="88"/>
      <c r="F15" s="88" t="s">
        <v>33</v>
      </c>
      <c r="G15" s="88" t="s">
        <v>34</v>
      </c>
      <c r="H15" s="88" t="s">
        <v>35</v>
      </c>
      <c r="I15" s="88" t="s">
        <v>82</v>
      </c>
      <c r="J15" s="88" t="s">
        <v>37</v>
      </c>
      <c r="K15" s="88" t="s">
        <v>38</v>
      </c>
      <c r="L15" s="88" t="s">
        <v>83</v>
      </c>
      <c r="M15" s="88"/>
      <c r="N15" s="88"/>
      <c r="O15" s="88"/>
      <c r="P15" s="88"/>
      <c r="Q15" s="97" t="s">
        <v>108</v>
      </c>
      <c r="R15" s="88"/>
      <c r="S15" s="88"/>
      <c r="T15" s="88"/>
      <c r="U15" s="88"/>
      <c r="V15" s="88"/>
      <c r="W15" s="88"/>
      <c r="X15" s="92" t="s">
        <v>43</v>
      </c>
      <c r="Y15" s="88" t="s">
        <v>79</v>
      </c>
      <c r="Z15" s="88"/>
      <c r="AA15" s="92" t="s">
        <v>43</v>
      </c>
      <c r="AB15" s="88" t="s">
        <v>79</v>
      </c>
      <c r="AC15" s="93"/>
      <c r="AD15" s="147">
        <v>1</v>
      </c>
    </row>
    <row r="16" spans="1:30" s="6" customFormat="1" ht="177" hidden="1" customHeight="1" x14ac:dyDescent="0.4">
      <c r="A16" s="88">
        <v>15</v>
      </c>
      <c r="B16" s="88" t="s">
        <v>30</v>
      </c>
      <c r="C16" s="88" t="s">
        <v>109</v>
      </c>
      <c r="D16" s="99" t="s">
        <v>110</v>
      </c>
      <c r="E16" s="88"/>
      <c r="F16" s="88" t="s">
        <v>33</v>
      </c>
      <c r="G16" s="88" t="s">
        <v>34</v>
      </c>
      <c r="H16" s="88" t="s">
        <v>35</v>
      </c>
      <c r="I16" s="88" t="s">
        <v>111</v>
      </c>
      <c r="J16" s="88" t="s">
        <v>37</v>
      </c>
      <c r="K16" s="88" t="s">
        <v>38</v>
      </c>
      <c r="L16" s="88" t="s">
        <v>83</v>
      </c>
      <c r="M16" s="88"/>
      <c r="N16" s="88">
        <v>578</v>
      </c>
      <c r="O16" s="88"/>
      <c r="P16" s="88">
        <v>55</v>
      </c>
      <c r="Q16" s="97" t="s">
        <v>112</v>
      </c>
      <c r="R16" s="88">
        <v>100</v>
      </c>
      <c r="S16" s="88" t="s">
        <v>98</v>
      </c>
      <c r="T16" s="88">
        <v>87</v>
      </c>
      <c r="U16" s="88"/>
      <c r="V16" s="88">
        <v>173</v>
      </c>
      <c r="W16" s="88"/>
      <c r="X16" s="92" t="s">
        <v>43</v>
      </c>
      <c r="Y16" s="88" t="s">
        <v>42</v>
      </c>
      <c r="Z16" s="88"/>
      <c r="AA16" s="92" t="s">
        <v>43</v>
      </c>
      <c r="AB16" s="88" t="s">
        <v>42</v>
      </c>
      <c r="AC16" s="93"/>
      <c r="AD16" s="147">
        <v>1</v>
      </c>
    </row>
    <row r="17" spans="1:31" s="6" customFormat="1" ht="177" hidden="1" customHeight="1" x14ac:dyDescent="0.4">
      <c r="A17" s="88">
        <v>16</v>
      </c>
      <c r="B17" s="88" t="s">
        <v>30</v>
      </c>
      <c r="C17" s="88" t="s">
        <v>113</v>
      </c>
      <c r="D17" s="99" t="s">
        <v>114</v>
      </c>
      <c r="E17" s="88"/>
      <c r="F17" s="88" t="s">
        <v>33</v>
      </c>
      <c r="G17" s="88" t="s">
        <v>34</v>
      </c>
      <c r="H17" s="88" t="s">
        <v>35</v>
      </c>
      <c r="I17" s="88" t="s">
        <v>111</v>
      </c>
      <c r="J17" s="88" t="s">
        <v>35</v>
      </c>
      <c r="K17" s="88" t="s">
        <v>38</v>
      </c>
      <c r="L17" s="88" t="s">
        <v>83</v>
      </c>
      <c r="M17" s="88"/>
      <c r="N17" s="88">
        <v>205</v>
      </c>
      <c r="O17" s="88"/>
      <c r="P17" s="88">
        <v>45</v>
      </c>
      <c r="Q17" s="97" t="s">
        <v>74</v>
      </c>
      <c r="R17" s="88">
        <v>55</v>
      </c>
      <c r="S17" s="88" t="s">
        <v>115</v>
      </c>
      <c r="T17" s="88">
        <v>89</v>
      </c>
      <c r="U17" s="88"/>
      <c r="V17" s="88">
        <v>123</v>
      </c>
      <c r="W17" s="88"/>
      <c r="X17" s="92" t="s">
        <v>43</v>
      </c>
      <c r="Y17" s="88" t="s">
        <v>43</v>
      </c>
      <c r="Z17" s="88"/>
      <c r="AA17" s="92" t="s">
        <v>43</v>
      </c>
      <c r="AB17" s="88" t="s">
        <v>43</v>
      </c>
      <c r="AC17" s="93"/>
      <c r="AD17" s="147">
        <v>1</v>
      </c>
    </row>
    <row r="18" spans="1:31" s="6" customFormat="1" ht="177" hidden="1" customHeight="1" x14ac:dyDescent="0.4">
      <c r="A18" s="88">
        <v>17</v>
      </c>
      <c r="B18" s="88" t="s">
        <v>30</v>
      </c>
      <c r="C18" s="88" t="s">
        <v>116</v>
      </c>
      <c r="D18" s="100" t="s">
        <v>117</v>
      </c>
      <c r="E18" s="88"/>
      <c r="F18" s="88" t="s">
        <v>33</v>
      </c>
      <c r="G18" s="88" t="s">
        <v>34</v>
      </c>
      <c r="H18" s="88" t="s">
        <v>35</v>
      </c>
      <c r="I18" s="88" t="s">
        <v>111</v>
      </c>
      <c r="J18" s="88" t="s">
        <v>35</v>
      </c>
      <c r="K18" s="88" t="s">
        <v>38</v>
      </c>
      <c r="L18" s="88" t="s">
        <v>83</v>
      </c>
      <c r="M18" s="88"/>
      <c r="N18" s="88">
        <v>1287</v>
      </c>
      <c r="O18" s="88"/>
      <c r="P18" s="88">
        <v>115</v>
      </c>
      <c r="Q18" s="97" t="s">
        <v>118</v>
      </c>
      <c r="R18" s="88">
        <v>179</v>
      </c>
      <c r="S18" s="88" t="s">
        <v>119</v>
      </c>
      <c r="T18" s="88">
        <v>247</v>
      </c>
      <c r="U18" s="88"/>
      <c r="V18" s="88">
        <v>376</v>
      </c>
      <c r="W18" s="88"/>
      <c r="X18" s="92" t="s">
        <v>75</v>
      </c>
      <c r="Y18" s="88" t="s">
        <v>42</v>
      </c>
      <c r="Z18" s="88"/>
      <c r="AA18" s="92" t="s">
        <v>75</v>
      </c>
      <c r="AB18" s="88" t="s">
        <v>42</v>
      </c>
      <c r="AC18" s="93"/>
      <c r="AD18" s="147">
        <v>1</v>
      </c>
    </row>
    <row r="19" spans="1:31" s="6" customFormat="1" ht="177" hidden="1" customHeight="1" x14ac:dyDescent="0.4">
      <c r="A19" s="88">
        <v>18</v>
      </c>
      <c r="B19" s="88" t="s">
        <v>30</v>
      </c>
      <c r="C19" s="101" t="s">
        <v>120</v>
      </c>
      <c r="D19" s="100" t="s">
        <v>121</v>
      </c>
      <c r="E19" s="88"/>
      <c r="F19" s="88" t="s">
        <v>33</v>
      </c>
      <c r="G19" s="88" t="s">
        <v>34</v>
      </c>
      <c r="H19" s="88" t="s">
        <v>35</v>
      </c>
      <c r="I19" s="88" t="s">
        <v>111</v>
      </c>
      <c r="J19" s="88" t="s">
        <v>35</v>
      </c>
      <c r="K19" s="88" t="s">
        <v>38</v>
      </c>
      <c r="L19" s="88" t="s">
        <v>83</v>
      </c>
      <c r="M19" s="88"/>
      <c r="N19" s="88"/>
      <c r="O19" s="88"/>
      <c r="P19" s="88"/>
      <c r="Q19" s="97" t="s">
        <v>122</v>
      </c>
      <c r="R19" s="88"/>
      <c r="S19" s="88" t="s">
        <v>123</v>
      </c>
      <c r="T19" s="88"/>
      <c r="U19" s="88"/>
      <c r="V19" s="88"/>
      <c r="W19" s="95"/>
      <c r="X19" s="92" t="s">
        <v>91</v>
      </c>
      <c r="Y19" s="88" t="s">
        <v>43</v>
      </c>
      <c r="Z19" s="88"/>
      <c r="AA19" s="92" t="s">
        <v>91</v>
      </c>
      <c r="AB19" s="88" t="s">
        <v>43</v>
      </c>
      <c r="AC19" s="93"/>
      <c r="AD19" s="147">
        <v>1</v>
      </c>
      <c r="AE19" s="7"/>
    </row>
    <row r="20" spans="1:31" s="6" customFormat="1" ht="177" hidden="1" customHeight="1" x14ac:dyDescent="0.4">
      <c r="A20" s="88">
        <v>19</v>
      </c>
      <c r="B20" s="88" t="s">
        <v>30</v>
      </c>
      <c r="C20" s="101" t="s">
        <v>124</v>
      </c>
      <c r="D20" s="100" t="s">
        <v>125</v>
      </c>
      <c r="E20" s="88"/>
      <c r="F20" s="88" t="s">
        <v>33</v>
      </c>
      <c r="G20" s="88" t="s">
        <v>34</v>
      </c>
      <c r="H20" s="88" t="s">
        <v>35</v>
      </c>
      <c r="I20" s="88" t="s">
        <v>111</v>
      </c>
      <c r="J20" s="88" t="s">
        <v>35</v>
      </c>
      <c r="K20" s="88" t="s">
        <v>38</v>
      </c>
      <c r="L20" s="88" t="s">
        <v>83</v>
      </c>
      <c r="M20" s="88"/>
      <c r="N20" s="88"/>
      <c r="O20" s="88"/>
      <c r="P20" s="88"/>
      <c r="Q20" s="97" t="s">
        <v>126</v>
      </c>
      <c r="R20" s="88"/>
      <c r="S20" s="88"/>
      <c r="T20" s="88"/>
      <c r="U20" s="88"/>
      <c r="V20" s="88"/>
      <c r="W20" s="95"/>
      <c r="X20" s="92" t="s">
        <v>75</v>
      </c>
      <c r="Y20" s="88" t="s">
        <v>79</v>
      </c>
      <c r="Z20" s="88"/>
      <c r="AA20" s="92" t="s">
        <v>75</v>
      </c>
      <c r="AB20" s="88" t="s">
        <v>79</v>
      </c>
      <c r="AC20" s="93"/>
      <c r="AD20" s="147">
        <v>1</v>
      </c>
      <c r="AE20" s="7"/>
    </row>
    <row r="21" spans="1:31" s="6" customFormat="1" ht="177" hidden="1" customHeight="1" x14ac:dyDescent="0.4">
      <c r="A21" s="88">
        <v>20</v>
      </c>
      <c r="B21" s="88" t="s">
        <v>30</v>
      </c>
      <c r="C21" s="101" t="s">
        <v>127</v>
      </c>
      <c r="D21" s="100" t="s">
        <v>128</v>
      </c>
      <c r="E21" s="88"/>
      <c r="F21" s="88" t="s">
        <v>33</v>
      </c>
      <c r="G21" s="88" t="s">
        <v>34</v>
      </c>
      <c r="H21" s="88" t="s">
        <v>35</v>
      </c>
      <c r="I21" s="88" t="s">
        <v>111</v>
      </c>
      <c r="J21" s="88" t="s">
        <v>35</v>
      </c>
      <c r="K21" s="88" t="s">
        <v>38</v>
      </c>
      <c r="L21" s="88" t="s">
        <v>83</v>
      </c>
      <c r="M21" s="88"/>
      <c r="N21" s="88"/>
      <c r="O21" s="88"/>
      <c r="P21" s="88"/>
      <c r="Q21" s="88"/>
      <c r="R21" s="88"/>
      <c r="S21" s="88"/>
      <c r="T21" s="88"/>
      <c r="U21" s="88"/>
      <c r="V21" s="88"/>
      <c r="W21" s="95"/>
      <c r="X21" s="92" t="s">
        <v>91</v>
      </c>
      <c r="Y21" s="88" t="s">
        <v>91</v>
      </c>
      <c r="Z21" s="88"/>
      <c r="AA21" s="92" t="s">
        <v>91</v>
      </c>
      <c r="AB21" s="88" t="s">
        <v>91</v>
      </c>
      <c r="AC21" s="93"/>
      <c r="AD21" s="147">
        <v>1</v>
      </c>
      <c r="AE21" s="7"/>
    </row>
    <row r="22" spans="1:31" s="6" customFormat="1" ht="194.25" hidden="1" customHeight="1" x14ac:dyDescent="0.4">
      <c r="A22" s="88">
        <v>21</v>
      </c>
      <c r="B22" s="88" t="s">
        <v>129</v>
      </c>
      <c r="C22" s="102" t="s">
        <v>130</v>
      </c>
      <c r="D22" s="88" t="s">
        <v>131</v>
      </c>
      <c r="E22" s="88" t="s">
        <v>132</v>
      </c>
      <c r="F22" s="88" t="s">
        <v>133</v>
      </c>
      <c r="G22" s="88" t="s">
        <v>134</v>
      </c>
      <c r="H22" s="88" t="s">
        <v>37</v>
      </c>
      <c r="I22" s="88" t="s">
        <v>135</v>
      </c>
      <c r="J22" s="88" t="s">
        <v>37</v>
      </c>
      <c r="K22" s="88" t="s">
        <v>38</v>
      </c>
      <c r="L22" s="88" t="s">
        <v>136</v>
      </c>
      <c r="M22" s="88"/>
      <c r="N22" s="88"/>
      <c r="O22" s="88"/>
      <c r="P22" s="88"/>
      <c r="Q22" s="88" t="s">
        <v>98</v>
      </c>
      <c r="R22" s="88"/>
      <c r="S22" s="88"/>
      <c r="T22" s="88"/>
      <c r="U22" s="88"/>
      <c r="V22" s="88"/>
      <c r="W22" s="88"/>
      <c r="X22" s="92" t="s">
        <v>42</v>
      </c>
      <c r="Y22" s="88" t="s">
        <v>91</v>
      </c>
      <c r="Z22" s="88"/>
      <c r="AA22" s="92" t="s">
        <v>42</v>
      </c>
      <c r="AB22" s="88" t="s">
        <v>91</v>
      </c>
      <c r="AC22" s="93"/>
      <c r="AD22" s="147">
        <v>1</v>
      </c>
    </row>
    <row r="23" spans="1:31" s="6" customFormat="1" ht="194.25" hidden="1" customHeight="1" x14ac:dyDescent="0.4">
      <c r="A23" s="88">
        <v>22</v>
      </c>
      <c r="B23" s="88" t="s">
        <v>129</v>
      </c>
      <c r="C23" s="102"/>
      <c r="D23" s="88"/>
      <c r="E23" s="88" t="s">
        <v>137</v>
      </c>
      <c r="F23" s="88" t="s">
        <v>133</v>
      </c>
      <c r="G23" s="88" t="s">
        <v>134</v>
      </c>
      <c r="H23" s="88" t="s">
        <v>37</v>
      </c>
      <c r="I23" s="88" t="s">
        <v>135</v>
      </c>
      <c r="J23" s="88" t="s">
        <v>37</v>
      </c>
      <c r="K23" s="88" t="s">
        <v>38</v>
      </c>
      <c r="L23" s="88" t="s">
        <v>136</v>
      </c>
      <c r="M23" s="88"/>
      <c r="N23" s="88"/>
      <c r="O23" s="88"/>
      <c r="P23" s="88"/>
      <c r="Q23" s="88"/>
      <c r="R23" s="88"/>
      <c r="S23" s="88"/>
      <c r="T23" s="88"/>
      <c r="U23" s="88"/>
      <c r="V23" s="88"/>
      <c r="W23" s="88"/>
      <c r="X23" s="92" t="s">
        <v>79</v>
      </c>
      <c r="Y23" s="88" t="s">
        <v>79</v>
      </c>
      <c r="Z23" s="88"/>
      <c r="AA23" s="92" t="s">
        <v>79</v>
      </c>
      <c r="AB23" s="88" t="s">
        <v>79</v>
      </c>
      <c r="AC23" s="93"/>
      <c r="AD23" s="147">
        <v>1</v>
      </c>
    </row>
    <row r="24" spans="1:31" s="6" customFormat="1" ht="194.25" hidden="1" customHeight="1" x14ac:dyDescent="0.4">
      <c r="A24" s="88">
        <v>23</v>
      </c>
      <c r="B24" s="88" t="s">
        <v>129</v>
      </c>
      <c r="C24" s="102"/>
      <c r="D24" s="88"/>
      <c r="E24" s="88" t="s">
        <v>138</v>
      </c>
      <c r="F24" s="88" t="s">
        <v>133</v>
      </c>
      <c r="G24" s="88" t="s">
        <v>134</v>
      </c>
      <c r="H24" s="88" t="s">
        <v>37</v>
      </c>
      <c r="I24" s="88" t="s">
        <v>135</v>
      </c>
      <c r="J24" s="88" t="s">
        <v>37</v>
      </c>
      <c r="K24" s="88" t="s">
        <v>38</v>
      </c>
      <c r="L24" s="88" t="s">
        <v>136</v>
      </c>
      <c r="M24" s="88"/>
      <c r="N24" s="88"/>
      <c r="O24" s="88"/>
      <c r="P24" s="88"/>
      <c r="Q24" s="88"/>
      <c r="R24" s="88"/>
      <c r="S24" s="88"/>
      <c r="T24" s="88"/>
      <c r="U24" s="88"/>
      <c r="V24" s="88"/>
      <c r="W24" s="88"/>
      <c r="X24" s="92" t="s">
        <v>75</v>
      </c>
      <c r="Y24" s="88" t="s">
        <v>79</v>
      </c>
      <c r="Z24" s="88"/>
      <c r="AA24" s="92" t="s">
        <v>75</v>
      </c>
      <c r="AB24" s="88" t="s">
        <v>79</v>
      </c>
      <c r="AC24" s="93"/>
      <c r="AD24" s="147">
        <v>1</v>
      </c>
    </row>
    <row r="25" spans="1:31" s="6" customFormat="1" ht="224.25" hidden="1" customHeight="1" x14ac:dyDescent="0.4">
      <c r="A25" s="88">
        <v>24</v>
      </c>
      <c r="B25" s="88" t="s">
        <v>139</v>
      </c>
      <c r="C25" s="88" t="s">
        <v>140</v>
      </c>
      <c r="D25" s="88" t="s">
        <v>141</v>
      </c>
      <c r="E25" s="88" t="s">
        <v>142</v>
      </c>
      <c r="F25" s="88" t="s">
        <v>143</v>
      </c>
      <c r="G25" s="88" t="s">
        <v>34</v>
      </c>
      <c r="H25" s="88" t="s">
        <v>35</v>
      </c>
      <c r="I25" s="88" t="s">
        <v>144</v>
      </c>
      <c r="J25" s="88" t="s">
        <v>35</v>
      </c>
      <c r="K25" s="88" t="s">
        <v>145</v>
      </c>
      <c r="L25" s="88" t="s">
        <v>39</v>
      </c>
      <c r="M25" s="88" t="s">
        <v>48</v>
      </c>
      <c r="N25" s="88">
        <v>100</v>
      </c>
      <c r="O25" s="88"/>
      <c r="P25" s="96">
        <v>30</v>
      </c>
      <c r="Q25" s="94">
        <v>83</v>
      </c>
      <c r="R25" s="96">
        <v>18</v>
      </c>
      <c r="S25" s="88" t="s">
        <v>98</v>
      </c>
      <c r="T25" s="96">
        <v>34</v>
      </c>
      <c r="U25" s="88"/>
      <c r="V25" s="96">
        <v>34</v>
      </c>
      <c r="W25" s="88"/>
      <c r="X25" s="92" t="s">
        <v>43</v>
      </c>
      <c r="Y25" s="88" t="s">
        <v>75</v>
      </c>
      <c r="Z25" s="88"/>
      <c r="AA25" s="92" t="s">
        <v>43</v>
      </c>
      <c r="AB25" s="88" t="s">
        <v>75</v>
      </c>
      <c r="AC25" s="93"/>
      <c r="AD25" s="147">
        <v>1</v>
      </c>
    </row>
    <row r="26" spans="1:31" s="8" customFormat="1" ht="243" hidden="1" customHeight="1" x14ac:dyDescent="0.4">
      <c r="A26" s="88">
        <v>25</v>
      </c>
      <c r="B26" s="88" t="s">
        <v>146</v>
      </c>
      <c r="C26" s="88" t="s">
        <v>147</v>
      </c>
      <c r="D26" s="88" t="s">
        <v>148</v>
      </c>
      <c r="E26" s="88"/>
      <c r="F26" s="88" t="s">
        <v>33</v>
      </c>
      <c r="G26" s="88" t="s">
        <v>34</v>
      </c>
      <c r="H26" s="88" t="s">
        <v>35</v>
      </c>
      <c r="I26" s="88" t="s">
        <v>149</v>
      </c>
      <c r="J26" s="88" t="s">
        <v>35</v>
      </c>
      <c r="K26" s="88" t="s">
        <v>145</v>
      </c>
      <c r="L26" s="88" t="s">
        <v>78</v>
      </c>
      <c r="M26" s="88" t="s">
        <v>150</v>
      </c>
      <c r="N26" s="88" t="s">
        <v>151</v>
      </c>
      <c r="O26" s="88"/>
      <c r="P26" s="88" t="s">
        <v>59</v>
      </c>
      <c r="Q26" s="94" t="s">
        <v>152</v>
      </c>
      <c r="R26" s="88" t="s">
        <v>153</v>
      </c>
      <c r="S26" s="88"/>
      <c r="T26" s="88" t="s">
        <v>61</v>
      </c>
      <c r="U26" s="88"/>
      <c r="V26" s="88" t="s">
        <v>154</v>
      </c>
      <c r="W26" s="88"/>
      <c r="X26" s="92" t="s">
        <v>43</v>
      </c>
      <c r="Y26" s="88" t="s">
        <v>43</v>
      </c>
      <c r="Z26" s="88"/>
      <c r="AA26" s="92" t="s">
        <v>43</v>
      </c>
      <c r="AB26" s="88" t="s">
        <v>43</v>
      </c>
      <c r="AC26" s="93"/>
      <c r="AD26" s="147">
        <v>1</v>
      </c>
    </row>
    <row r="27" spans="1:31" s="8" customFormat="1" ht="409.5" hidden="1" customHeight="1" x14ac:dyDescent="0.4">
      <c r="A27" s="88">
        <v>26</v>
      </c>
      <c r="B27" s="88" t="s">
        <v>146</v>
      </c>
      <c r="C27" s="88" t="s">
        <v>155</v>
      </c>
      <c r="D27" s="88" t="s">
        <v>156</v>
      </c>
      <c r="E27" s="88"/>
      <c r="F27" s="88" t="s">
        <v>33</v>
      </c>
      <c r="G27" s="88" t="s">
        <v>34</v>
      </c>
      <c r="H27" s="88" t="s">
        <v>37</v>
      </c>
      <c r="I27" s="88" t="s">
        <v>157</v>
      </c>
      <c r="J27" s="88" t="s">
        <v>37</v>
      </c>
      <c r="K27" s="88" t="s">
        <v>38</v>
      </c>
      <c r="L27" s="88" t="s">
        <v>158</v>
      </c>
      <c r="M27" s="88" t="s">
        <v>159</v>
      </c>
      <c r="N27" s="88" t="s">
        <v>160</v>
      </c>
      <c r="O27" s="88"/>
      <c r="P27" s="88">
        <v>1</v>
      </c>
      <c r="Q27" s="94">
        <v>4</v>
      </c>
      <c r="R27" s="88">
        <v>1</v>
      </c>
      <c r="S27" s="88" t="s">
        <v>98</v>
      </c>
      <c r="T27" s="88">
        <v>1</v>
      </c>
      <c r="U27" s="88"/>
      <c r="V27" s="88" t="s">
        <v>62</v>
      </c>
      <c r="W27" s="103"/>
      <c r="X27" s="92" t="s">
        <v>91</v>
      </c>
      <c r="Y27" s="88" t="s">
        <v>43</v>
      </c>
      <c r="Z27" s="88"/>
      <c r="AA27" s="92" t="s">
        <v>91</v>
      </c>
      <c r="AB27" s="88" t="s">
        <v>43</v>
      </c>
      <c r="AC27" s="93"/>
      <c r="AD27" s="147">
        <v>1</v>
      </c>
    </row>
    <row r="28" spans="1:31" s="8" customFormat="1" ht="259.5" hidden="1" customHeight="1" x14ac:dyDescent="0.4">
      <c r="A28" s="88">
        <v>27</v>
      </c>
      <c r="B28" s="88" t="s">
        <v>161</v>
      </c>
      <c r="C28" s="104" t="s">
        <v>162</v>
      </c>
      <c r="D28" s="88" t="s">
        <v>163</v>
      </c>
      <c r="E28" s="88"/>
      <c r="F28" s="88" t="s">
        <v>164</v>
      </c>
      <c r="G28" s="88" t="s">
        <v>165</v>
      </c>
      <c r="H28" s="88" t="s">
        <v>35</v>
      </c>
      <c r="I28" s="88" t="s">
        <v>166</v>
      </c>
      <c r="J28" s="88" t="s">
        <v>37</v>
      </c>
      <c r="K28" s="88" t="s">
        <v>38</v>
      </c>
      <c r="L28" s="88" t="s">
        <v>47</v>
      </c>
      <c r="M28" s="88"/>
      <c r="N28" s="88"/>
      <c r="O28" s="105"/>
      <c r="P28" s="94"/>
      <c r="Q28" s="94"/>
      <c r="R28" s="94"/>
      <c r="S28" s="88" t="s">
        <v>167</v>
      </c>
      <c r="T28" s="106"/>
      <c r="U28" s="107"/>
      <c r="V28" s="106"/>
      <c r="W28" s="88"/>
      <c r="X28" s="92" t="s">
        <v>79</v>
      </c>
      <c r="Y28" s="88" t="s">
        <v>43</v>
      </c>
      <c r="Z28" s="88"/>
      <c r="AA28" s="92" t="s">
        <v>79</v>
      </c>
      <c r="AB28" s="88" t="s">
        <v>43</v>
      </c>
      <c r="AC28" s="93"/>
      <c r="AD28" s="147">
        <v>1</v>
      </c>
    </row>
    <row r="29" spans="1:31" s="8" customFormat="1" ht="249" hidden="1" customHeight="1" x14ac:dyDescent="0.4">
      <c r="A29" s="88">
        <v>28</v>
      </c>
      <c r="B29" s="88" t="s">
        <v>161</v>
      </c>
      <c r="C29" s="104" t="s">
        <v>168</v>
      </c>
      <c r="D29" s="88" t="s">
        <v>169</v>
      </c>
      <c r="E29" s="88"/>
      <c r="F29" s="88" t="s">
        <v>164</v>
      </c>
      <c r="G29" s="88" t="s">
        <v>170</v>
      </c>
      <c r="H29" s="88" t="s">
        <v>37</v>
      </c>
      <c r="I29" s="88" t="s">
        <v>171</v>
      </c>
      <c r="J29" s="88" t="s">
        <v>37</v>
      </c>
      <c r="K29" s="88" t="s">
        <v>38</v>
      </c>
      <c r="L29" s="88" t="s">
        <v>78</v>
      </c>
      <c r="M29" s="88" t="s">
        <v>172</v>
      </c>
      <c r="N29" s="88">
        <v>4</v>
      </c>
      <c r="O29" s="88"/>
      <c r="P29" s="88"/>
      <c r="Q29" s="94">
        <v>1</v>
      </c>
      <c r="R29" s="88">
        <v>2</v>
      </c>
      <c r="S29" s="88"/>
      <c r="T29" s="88">
        <v>2</v>
      </c>
      <c r="U29" s="88"/>
      <c r="V29" s="88">
        <v>3</v>
      </c>
      <c r="W29" s="88"/>
      <c r="X29" s="92" t="s">
        <v>42</v>
      </c>
      <c r="Y29" s="88" t="s">
        <v>79</v>
      </c>
      <c r="Z29" s="88"/>
      <c r="AA29" s="92" t="s">
        <v>42</v>
      </c>
      <c r="AB29" s="88" t="s">
        <v>79</v>
      </c>
      <c r="AC29" s="93"/>
      <c r="AD29" s="147">
        <v>1</v>
      </c>
    </row>
    <row r="30" spans="1:31" s="8" customFormat="1" ht="276.75" hidden="1" customHeight="1" x14ac:dyDescent="0.4">
      <c r="A30" s="88">
        <v>29</v>
      </c>
      <c r="B30" s="88" t="s">
        <v>161</v>
      </c>
      <c r="C30" s="104" t="s">
        <v>173</v>
      </c>
      <c r="D30" s="88" t="s">
        <v>174</v>
      </c>
      <c r="E30" s="88"/>
      <c r="F30" s="88" t="s">
        <v>164</v>
      </c>
      <c r="G30" s="88" t="s">
        <v>175</v>
      </c>
      <c r="H30" s="88" t="s">
        <v>35</v>
      </c>
      <c r="I30" s="88" t="s">
        <v>176</v>
      </c>
      <c r="J30" s="88" t="s">
        <v>37</v>
      </c>
      <c r="K30" s="88" t="s">
        <v>38</v>
      </c>
      <c r="L30" s="88" t="s">
        <v>78</v>
      </c>
      <c r="M30" s="88"/>
      <c r="N30" s="88"/>
      <c r="O30" s="88"/>
      <c r="P30" s="88"/>
      <c r="Q30" s="94"/>
      <c r="R30" s="88"/>
      <c r="S30" s="88"/>
      <c r="T30" s="88"/>
      <c r="U30" s="88"/>
      <c r="V30" s="88"/>
      <c r="W30" s="88"/>
      <c r="X30" s="92" t="s">
        <v>79</v>
      </c>
      <c r="Y30" s="88" t="s">
        <v>79</v>
      </c>
      <c r="Z30" s="88"/>
      <c r="AA30" s="92" t="s">
        <v>79</v>
      </c>
      <c r="AB30" s="88" t="s">
        <v>79</v>
      </c>
      <c r="AC30" s="93"/>
      <c r="AD30" s="147">
        <v>1</v>
      </c>
    </row>
    <row r="31" spans="1:31" s="8" customFormat="1" ht="254.25" hidden="1" customHeight="1" x14ac:dyDescent="0.4">
      <c r="A31" s="88">
        <v>30</v>
      </c>
      <c r="B31" s="88" t="s">
        <v>161</v>
      </c>
      <c r="C31" s="104" t="s">
        <v>177</v>
      </c>
      <c r="D31" s="88" t="s">
        <v>178</v>
      </c>
      <c r="E31" s="88"/>
      <c r="F31" s="88" t="s">
        <v>164</v>
      </c>
      <c r="G31" s="88" t="s">
        <v>179</v>
      </c>
      <c r="H31" s="88" t="s">
        <v>37</v>
      </c>
      <c r="I31" s="88" t="s">
        <v>180</v>
      </c>
      <c r="J31" s="88" t="s">
        <v>35</v>
      </c>
      <c r="K31" s="88" t="s">
        <v>145</v>
      </c>
      <c r="L31" s="88" t="s">
        <v>47</v>
      </c>
      <c r="M31" s="88" t="s">
        <v>172</v>
      </c>
      <c r="N31" s="88">
        <v>10</v>
      </c>
      <c r="O31" s="88"/>
      <c r="P31" s="88">
        <v>1</v>
      </c>
      <c r="Q31" s="94">
        <v>1</v>
      </c>
      <c r="R31" s="88">
        <v>3</v>
      </c>
      <c r="S31" s="88"/>
      <c r="T31" s="88">
        <v>2</v>
      </c>
      <c r="U31" s="88"/>
      <c r="V31" s="88">
        <v>4</v>
      </c>
      <c r="W31" s="88"/>
      <c r="X31" s="92" t="s">
        <v>43</v>
      </c>
      <c r="Y31" s="88" t="s">
        <v>79</v>
      </c>
      <c r="Z31" s="88"/>
      <c r="AA31" s="92" t="s">
        <v>43</v>
      </c>
      <c r="AB31" s="88" t="s">
        <v>79</v>
      </c>
      <c r="AC31" s="93"/>
      <c r="AD31" s="147">
        <v>1</v>
      </c>
    </row>
    <row r="32" spans="1:31" s="8" customFormat="1" ht="328.5" hidden="1" customHeight="1" x14ac:dyDescent="0.4">
      <c r="A32" s="88">
        <v>31</v>
      </c>
      <c r="B32" s="88" t="s">
        <v>161</v>
      </c>
      <c r="C32" s="88" t="s">
        <v>181</v>
      </c>
      <c r="D32" s="88" t="s">
        <v>182</v>
      </c>
      <c r="E32" s="88"/>
      <c r="F32" s="88" t="s">
        <v>164</v>
      </c>
      <c r="G32" s="88" t="s">
        <v>183</v>
      </c>
      <c r="H32" s="88" t="s">
        <v>35</v>
      </c>
      <c r="I32" s="88" t="s">
        <v>180</v>
      </c>
      <c r="J32" s="88" t="s">
        <v>35</v>
      </c>
      <c r="K32" s="88" t="s">
        <v>145</v>
      </c>
      <c r="L32" s="88" t="s">
        <v>39</v>
      </c>
      <c r="M32" s="88" t="s">
        <v>150</v>
      </c>
      <c r="N32" s="88" t="s">
        <v>184</v>
      </c>
      <c r="O32" s="88"/>
      <c r="P32" s="88">
        <v>1</v>
      </c>
      <c r="Q32" s="94"/>
      <c r="R32" s="88">
        <v>5</v>
      </c>
      <c r="S32" s="88"/>
      <c r="T32" s="88">
        <v>4</v>
      </c>
      <c r="U32" s="88"/>
      <c r="V32" s="88">
        <v>4</v>
      </c>
      <c r="W32" s="88"/>
      <c r="X32" s="92" t="s">
        <v>185</v>
      </c>
      <c r="Y32" s="88" t="s">
        <v>91</v>
      </c>
      <c r="Z32" s="88"/>
      <c r="AA32" s="92" t="s">
        <v>185</v>
      </c>
      <c r="AB32" s="88" t="s">
        <v>91</v>
      </c>
      <c r="AC32" s="93"/>
      <c r="AD32" s="147">
        <v>1</v>
      </c>
    </row>
    <row r="33" spans="1:30" s="8" customFormat="1" ht="206.25" hidden="1" customHeight="1" x14ac:dyDescent="0.4">
      <c r="A33" s="88">
        <v>32</v>
      </c>
      <c r="B33" s="88" t="s">
        <v>161</v>
      </c>
      <c r="C33" s="88" t="s">
        <v>186</v>
      </c>
      <c r="D33" s="88" t="s">
        <v>187</v>
      </c>
      <c r="E33" s="88"/>
      <c r="F33" s="88" t="s">
        <v>164</v>
      </c>
      <c r="G33" s="88" t="s">
        <v>188</v>
      </c>
      <c r="H33" s="88" t="s">
        <v>37</v>
      </c>
      <c r="I33" s="88" t="s">
        <v>189</v>
      </c>
      <c r="J33" s="88" t="s">
        <v>35</v>
      </c>
      <c r="K33" s="88" t="s">
        <v>145</v>
      </c>
      <c r="L33" s="88" t="s">
        <v>78</v>
      </c>
      <c r="M33" s="88"/>
      <c r="N33" s="88"/>
      <c r="O33" s="88"/>
      <c r="P33" s="88"/>
      <c r="Q33" s="94"/>
      <c r="R33" s="88"/>
      <c r="S33" s="88"/>
      <c r="T33" s="88"/>
      <c r="U33" s="88"/>
      <c r="V33" s="88"/>
      <c r="W33" s="88"/>
      <c r="X33" s="92" t="s">
        <v>43</v>
      </c>
      <c r="Y33" s="88" t="s">
        <v>43</v>
      </c>
      <c r="Z33" s="88"/>
      <c r="AA33" s="92" t="s">
        <v>43</v>
      </c>
      <c r="AB33" s="88" t="s">
        <v>43</v>
      </c>
      <c r="AC33" s="93"/>
      <c r="AD33" s="147">
        <v>1</v>
      </c>
    </row>
    <row r="34" spans="1:30" s="8" customFormat="1" ht="211.5" hidden="1" customHeight="1" x14ac:dyDescent="0.4">
      <c r="A34" s="88">
        <v>33</v>
      </c>
      <c r="B34" s="88" t="s">
        <v>161</v>
      </c>
      <c r="C34" s="88" t="s">
        <v>190</v>
      </c>
      <c r="D34" s="88" t="s">
        <v>191</v>
      </c>
      <c r="E34" s="88"/>
      <c r="F34" s="88" t="s">
        <v>164</v>
      </c>
      <c r="G34" s="88" t="s">
        <v>192</v>
      </c>
      <c r="H34" s="88" t="s">
        <v>37</v>
      </c>
      <c r="I34" s="88" t="s">
        <v>193</v>
      </c>
      <c r="J34" s="88" t="s">
        <v>35</v>
      </c>
      <c r="K34" s="88" t="s">
        <v>145</v>
      </c>
      <c r="L34" s="88" t="s">
        <v>78</v>
      </c>
      <c r="M34" s="88" t="s">
        <v>54</v>
      </c>
      <c r="N34" s="88">
        <v>4</v>
      </c>
      <c r="O34" s="88"/>
      <c r="P34" s="88"/>
      <c r="Q34" s="94">
        <v>4</v>
      </c>
      <c r="R34" s="88">
        <v>1</v>
      </c>
      <c r="S34" s="88"/>
      <c r="T34" s="88">
        <v>2</v>
      </c>
      <c r="U34" s="95"/>
      <c r="V34" s="88">
        <v>1</v>
      </c>
      <c r="W34" s="88"/>
      <c r="X34" s="92" t="s">
        <v>42</v>
      </c>
      <c r="Y34" s="88" t="s">
        <v>79</v>
      </c>
      <c r="Z34" s="88"/>
      <c r="AA34" s="92" t="s">
        <v>42</v>
      </c>
      <c r="AB34" s="88" t="s">
        <v>79</v>
      </c>
      <c r="AC34" s="93"/>
      <c r="AD34" s="147">
        <v>1</v>
      </c>
    </row>
    <row r="35" spans="1:30" s="8" customFormat="1" ht="157.5" hidden="1" customHeight="1" x14ac:dyDescent="0.4">
      <c r="A35" s="88">
        <v>34</v>
      </c>
      <c r="B35" s="88" t="s">
        <v>161</v>
      </c>
      <c r="C35" s="88" t="s">
        <v>194</v>
      </c>
      <c r="D35" s="88" t="s">
        <v>195</v>
      </c>
      <c r="E35" s="88"/>
      <c r="F35" s="88" t="s">
        <v>164</v>
      </c>
      <c r="G35" s="88" t="s">
        <v>196</v>
      </c>
      <c r="H35" s="88" t="s">
        <v>37</v>
      </c>
      <c r="I35" s="88" t="s">
        <v>189</v>
      </c>
      <c r="J35" s="88" t="s">
        <v>35</v>
      </c>
      <c r="K35" s="88" t="s">
        <v>145</v>
      </c>
      <c r="L35" s="88" t="s">
        <v>39</v>
      </c>
      <c r="M35" s="88" t="s">
        <v>197</v>
      </c>
      <c r="N35" s="88">
        <v>2</v>
      </c>
      <c r="O35" s="88"/>
      <c r="P35" s="88"/>
      <c r="Q35" s="94">
        <v>1</v>
      </c>
      <c r="R35" s="88">
        <v>1</v>
      </c>
      <c r="S35" s="88" t="s">
        <v>198</v>
      </c>
      <c r="T35" s="88">
        <v>1</v>
      </c>
      <c r="U35" s="95"/>
      <c r="V35" s="95">
        <v>2</v>
      </c>
      <c r="W35" s="95"/>
      <c r="X35" s="92" t="s">
        <v>43</v>
      </c>
      <c r="Y35" s="88" t="s">
        <v>43</v>
      </c>
      <c r="Z35" s="88"/>
      <c r="AA35" s="92" t="s">
        <v>43</v>
      </c>
      <c r="AB35" s="88" t="s">
        <v>43</v>
      </c>
      <c r="AC35" s="93"/>
      <c r="AD35" s="147">
        <v>1</v>
      </c>
    </row>
    <row r="36" spans="1:30" s="8" customFormat="1" ht="220.5" hidden="1" customHeight="1" x14ac:dyDescent="0.4">
      <c r="A36" s="88">
        <v>35</v>
      </c>
      <c r="B36" s="88" t="s">
        <v>161</v>
      </c>
      <c r="C36" s="88" t="s">
        <v>199</v>
      </c>
      <c r="D36" s="88" t="s">
        <v>200</v>
      </c>
      <c r="E36" s="88"/>
      <c r="F36" s="88" t="s">
        <v>164</v>
      </c>
      <c r="G36" s="88" t="s">
        <v>201</v>
      </c>
      <c r="H36" s="88" t="s">
        <v>37</v>
      </c>
      <c r="I36" s="88" t="s">
        <v>202</v>
      </c>
      <c r="J36" s="88" t="s">
        <v>37</v>
      </c>
      <c r="K36" s="88" t="s">
        <v>38</v>
      </c>
      <c r="L36" s="88" t="s">
        <v>78</v>
      </c>
      <c r="M36" s="88" t="s">
        <v>203</v>
      </c>
      <c r="N36" s="88">
        <v>5</v>
      </c>
      <c r="O36" s="88"/>
      <c r="P36" s="88">
        <v>1</v>
      </c>
      <c r="Q36" s="94">
        <v>5</v>
      </c>
      <c r="R36" s="88">
        <v>2</v>
      </c>
      <c r="S36" s="88"/>
      <c r="T36" s="88">
        <v>1</v>
      </c>
      <c r="U36" s="88"/>
      <c r="V36" s="88">
        <v>1</v>
      </c>
      <c r="W36" s="88"/>
      <c r="X36" s="92" t="s">
        <v>91</v>
      </c>
      <c r="Y36" s="88" t="s">
        <v>79</v>
      </c>
      <c r="Z36" s="88"/>
      <c r="AA36" s="92" t="s">
        <v>91</v>
      </c>
      <c r="AB36" s="88" t="s">
        <v>79</v>
      </c>
      <c r="AC36" s="93"/>
      <c r="AD36" s="147">
        <v>1</v>
      </c>
    </row>
    <row r="37" spans="1:30" s="8" customFormat="1" ht="131.25" hidden="1" customHeight="1" x14ac:dyDescent="0.4">
      <c r="A37" s="88">
        <v>36</v>
      </c>
      <c r="B37" s="88" t="s">
        <v>161</v>
      </c>
      <c r="C37" s="88" t="s">
        <v>204</v>
      </c>
      <c r="D37" s="88" t="s">
        <v>205</v>
      </c>
      <c r="E37" s="88"/>
      <c r="F37" s="88" t="s">
        <v>164</v>
      </c>
      <c r="G37" s="88" t="s">
        <v>206</v>
      </c>
      <c r="H37" s="88" t="s">
        <v>35</v>
      </c>
      <c r="I37" s="88" t="s">
        <v>207</v>
      </c>
      <c r="J37" s="88" t="s">
        <v>37</v>
      </c>
      <c r="K37" s="88" t="s">
        <v>38</v>
      </c>
      <c r="L37" s="88" t="s">
        <v>83</v>
      </c>
      <c r="M37" s="88"/>
      <c r="N37" s="88"/>
      <c r="O37" s="88"/>
      <c r="P37" s="88"/>
      <c r="Q37" s="97" t="s">
        <v>208</v>
      </c>
      <c r="R37" s="88"/>
      <c r="S37" s="88" t="s">
        <v>209</v>
      </c>
      <c r="T37" s="88"/>
      <c r="U37" s="88"/>
      <c r="V37" s="88"/>
      <c r="W37" s="88"/>
      <c r="X37" s="92" t="s">
        <v>43</v>
      </c>
      <c r="Y37" s="88" t="s">
        <v>43</v>
      </c>
      <c r="Z37" s="88"/>
      <c r="AA37" s="92" t="s">
        <v>43</v>
      </c>
      <c r="AB37" s="88" t="s">
        <v>43</v>
      </c>
      <c r="AC37" s="93"/>
      <c r="AD37" s="147">
        <v>1</v>
      </c>
    </row>
    <row r="38" spans="1:30" s="8" customFormat="1" ht="164.25" hidden="1" customHeight="1" x14ac:dyDescent="0.4">
      <c r="A38" s="88">
        <v>37</v>
      </c>
      <c r="B38" s="88" t="s">
        <v>161</v>
      </c>
      <c r="C38" s="88" t="s">
        <v>210</v>
      </c>
      <c r="D38" s="88" t="s">
        <v>211</v>
      </c>
      <c r="E38" s="88"/>
      <c r="F38" s="88" t="s">
        <v>164</v>
      </c>
      <c r="G38" s="88" t="s">
        <v>212</v>
      </c>
      <c r="H38" s="88" t="s">
        <v>37</v>
      </c>
      <c r="I38" s="88" t="s">
        <v>213</v>
      </c>
      <c r="J38" s="88" t="s">
        <v>37</v>
      </c>
      <c r="K38" s="88" t="s">
        <v>145</v>
      </c>
      <c r="L38" s="88" t="s">
        <v>78</v>
      </c>
      <c r="M38" s="88"/>
      <c r="N38" s="88"/>
      <c r="O38" s="88"/>
      <c r="P38" s="88"/>
      <c r="Q38" s="88">
        <v>7</v>
      </c>
      <c r="R38" s="88"/>
      <c r="S38" s="88"/>
      <c r="T38" s="88"/>
      <c r="U38" s="88"/>
      <c r="V38" s="88"/>
      <c r="W38" s="88"/>
      <c r="X38" s="92" t="s">
        <v>42</v>
      </c>
      <c r="Y38" s="88" t="s">
        <v>185</v>
      </c>
      <c r="Z38" s="88"/>
      <c r="AA38" s="92" t="s">
        <v>42</v>
      </c>
      <c r="AB38" s="88" t="s">
        <v>185</v>
      </c>
      <c r="AC38" s="93"/>
      <c r="AD38" s="147">
        <v>1</v>
      </c>
    </row>
    <row r="39" spans="1:30" s="8" customFormat="1" ht="243" hidden="1" customHeight="1" x14ac:dyDescent="0.4">
      <c r="A39" s="88">
        <v>38</v>
      </c>
      <c r="B39" s="88" t="s">
        <v>161</v>
      </c>
      <c r="C39" s="88" t="s">
        <v>214</v>
      </c>
      <c r="D39" s="88" t="s">
        <v>215</v>
      </c>
      <c r="E39" s="88"/>
      <c r="F39" s="88" t="s">
        <v>164</v>
      </c>
      <c r="G39" s="88" t="s">
        <v>216</v>
      </c>
      <c r="H39" s="88" t="s">
        <v>35</v>
      </c>
      <c r="I39" s="88" t="s">
        <v>217</v>
      </c>
      <c r="J39" s="88" t="s">
        <v>37</v>
      </c>
      <c r="K39" s="88" t="s">
        <v>38</v>
      </c>
      <c r="L39" s="88" t="s">
        <v>218</v>
      </c>
      <c r="M39" s="88" t="s">
        <v>48</v>
      </c>
      <c r="N39" s="108"/>
      <c r="O39" s="94"/>
      <c r="P39" s="94"/>
      <c r="Q39" s="94" t="s">
        <v>219</v>
      </c>
      <c r="R39" s="94"/>
      <c r="S39" s="88" t="s">
        <v>220</v>
      </c>
      <c r="T39" s="106"/>
      <c r="U39" s="88">
        <v>54</v>
      </c>
      <c r="V39" s="106"/>
      <c r="W39" s="106"/>
      <c r="X39" s="92" t="s">
        <v>43</v>
      </c>
      <c r="Y39" s="106" t="s">
        <v>42</v>
      </c>
      <c r="Z39" s="106"/>
      <c r="AA39" s="92" t="s">
        <v>43</v>
      </c>
      <c r="AB39" s="106" t="s">
        <v>42</v>
      </c>
      <c r="AC39" s="109"/>
      <c r="AD39" s="143">
        <v>1</v>
      </c>
    </row>
    <row r="40" spans="1:30" s="8" customFormat="1" ht="277.5" hidden="1" customHeight="1" x14ac:dyDescent="0.4">
      <c r="A40" s="88">
        <v>39</v>
      </c>
      <c r="B40" s="88" t="s">
        <v>161</v>
      </c>
      <c r="C40" s="88" t="s">
        <v>221</v>
      </c>
      <c r="D40" s="88" t="s">
        <v>174</v>
      </c>
      <c r="E40" s="88"/>
      <c r="F40" s="88" t="s">
        <v>164</v>
      </c>
      <c r="G40" s="88" t="s">
        <v>222</v>
      </c>
      <c r="H40" s="88" t="s">
        <v>37</v>
      </c>
      <c r="I40" s="88" t="s">
        <v>223</v>
      </c>
      <c r="J40" s="88" t="s">
        <v>37</v>
      </c>
      <c r="K40" s="88" t="s">
        <v>38</v>
      </c>
      <c r="L40" s="88" t="s">
        <v>78</v>
      </c>
      <c r="M40" s="88" t="s">
        <v>203</v>
      </c>
      <c r="N40" s="89">
        <v>6</v>
      </c>
      <c r="O40" s="88"/>
      <c r="P40" s="88">
        <v>2</v>
      </c>
      <c r="Q40" s="88">
        <v>1</v>
      </c>
      <c r="R40" s="88">
        <v>2</v>
      </c>
      <c r="S40" s="88"/>
      <c r="T40" s="88">
        <v>3</v>
      </c>
      <c r="U40" s="88"/>
      <c r="V40" s="88">
        <v>2</v>
      </c>
      <c r="W40" s="88"/>
      <c r="X40" s="92" t="s">
        <v>43</v>
      </c>
      <c r="Y40" s="88" t="s">
        <v>79</v>
      </c>
      <c r="Z40" s="88"/>
      <c r="AA40" s="92" t="s">
        <v>43</v>
      </c>
      <c r="AB40" s="88" t="s">
        <v>79</v>
      </c>
      <c r="AC40" s="93"/>
      <c r="AD40" s="147">
        <v>1</v>
      </c>
    </row>
    <row r="41" spans="1:30" s="8" customFormat="1" ht="339" hidden="1" customHeight="1" x14ac:dyDescent="0.4">
      <c r="A41" s="88">
        <v>40</v>
      </c>
      <c r="B41" s="88" t="s">
        <v>161</v>
      </c>
      <c r="C41" s="88" t="s">
        <v>224</v>
      </c>
      <c r="D41" s="88" t="s">
        <v>225</v>
      </c>
      <c r="E41" s="88"/>
      <c r="F41" s="88" t="s">
        <v>164</v>
      </c>
      <c r="G41" s="88" t="s">
        <v>226</v>
      </c>
      <c r="H41" s="88" t="s">
        <v>37</v>
      </c>
      <c r="I41" s="88" t="s">
        <v>227</v>
      </c>
      <c r="J41" s="88" t="s">
        <v>37</v>
      </c>
      <c r="K41" s="88" t="s">
        <v>38</v>
      </c>
      <c r="L41" s="88" t="s">
        <v>78</v>
      </c>
      <c r="M41" s="88"/>
      <c r="N41" s="88"/>
      <c r="O41" s="88"/>
      <c r="P41" s="88"/>
      <c r="Q41" s="88"/>
      <c r="R41" s="88"/>
      <c r="S41" s="88"/>
      <c r="T41" s="88"/>
      <c r="U41" s="88"/>
      <c r="V41" s="88"/>
      <c r="W41" s="88"/>
      <c r="X41" s="92" t="s">
        <v>79</v>
      </c>
      <c r="Y41" s="88" t="s">
        <v>79</v>
      </c>
      <c r="Z41" s="88"/>
      <c r="AA41" s="92" t="s">
        <v>79</v>
      </c>
      <c r="AB41" s="88" t="s">
        <v>79</v>
      </c>
      <c r="AC41" s="93"/>
      <c r="AD41" s="147">
        <v>1</v>
      </c>
    </row>
    <row r="42" spans="1:30" s="8" customFormat="1" ht="409.5" hidden="1" customHeight="1" x14ac:dyDescent="0.4">
      <c r="A42" s="88">
        <v>41</v>
      </c>
      <c r="B42" s="88" t="s">
        <v>161</v>
      </c>
      <c r="C42" s="88" t="s">
        <v>228</v>
      </c>
      <c r="D42" s="88" t="s">
        <v>229</v>
      </c>
      <c r="E42" s="88"/>
      <c r="F42" s="88" t="s">
        <v>164</v>
      </c>
      <c r="G42" s="88" t="s">
        <v>230</v>
      </c>
      <c r="H42" s="88" t="s">
        <v>37</v>
      </c>
      <c r="I42" s="88" t="s">
        <v>231</v>
      </c>
      <c r="J42" s="88" t="s">
        <v>37</v>
      </c>
      <c r="K42" s="88" t="s">
        <v>145</v>
      </c>
      <c r="L42" s="88" t="s">
        <v>232</v>
      </c>
      <c r="M42" s="88"/>
      <c r="N42" s="88"/>
      <c r="O42" s="88"/>
      <c r="P42" s="88" t="s">
        <v>57</v>
      </c>
      <c r="Q42" s="88"/>
      <c r="R42" s="88" t="s">
        <v>59</v>
      </c>
      <c r="S42" s="88" t="s">
        <v>98</v>
      </c>
      <c r="T42" s="88" t="s">
        <v>59</v>
      </c>
      <c r="U42" s="88"/>
      <c r="V42" s="88" t="s">
        <v>61</v>
      </c>
      <c r="W42" s="88"/>
      <c r="X42" s="92" t="s">
        <v>91</v>
      </c>
      <c r="Y42" s="88" t="s">
        <v>43</v>
      </c>
      <c r="Z42" s="88"/>
      <c r="AA42" s="92" t="s">
        <v>91</v>
      </c>
      <c r="AB42" s="88" t="s">
        <v>43</v>
      </c>
      <c r="AC42" s="93"/>
      <c r="AD42" s="147">
        <v>1</v>
      </c>
    </row>
    <row r="43" spans="1:30" s="8" customFormat="1" ht="409.5" hidden="1" customHeight="1" x14ac:dyDescent="0.4">
      <c r="A43" s="88">
        <v>42</v>
      </c>
      <c r="B43" s="88" t="s">
        <v>161</v>
      </c>
      <c r="C43" s="88" t="s">
        <v>233</v>
      </c>
      <c r="D43" s="88" t="s">
        <v>234</v>
      </c>
      <c r="E43" s="88"/>
      <c r="F43" s="88" t="s">
        <v>164</v>
      </c>
      <c r="G43" s="88" t="s">
        <v>235</v>
      </c>
      <c r="H43" s="88" t="s">
        <v>37</v>
      </c>
      <c r="I43" s="88" t="s">
        <v>202</v>
      </c>
      <c r="J43" s="88" t="s">
        <v>37</v>
      </c>
      <c r="K43" s="88" t="s">
        <v>38</v>
      </c>
      <c r="L43" s="88" t="s">
        <v>78</v>
      </c>
      <c r="M43" s="88" t="s">
        <v>40</v>
      </c>
      <c r="N43" s="88"/>
      <c r="O43" s="88"/>
      <c r="P43" s="88"/>
      <c r="Q43" s="88">
        <v>3</v>
      </c>
      <c r="R43" s="88"/>
      <c r="S43" s="88"/>
      <c r="T43" s="88"/>
      <c r="U43" s="88"/>
      <c r="V43" s="88"/>
      <c r="W43" s="88"/>
      <c r="X43" s="92" t="s">
        <v>43</v>
      </c>
      <c r="Y43" s="88" t="s">
        <v>79</v>
      </c>
      <c r="Z43" s="88"/>
      <c r="AA43" s="92" t="s">
        <v>43</v>
      </c>
      <c r="AB43" s="88" t="s">
        <v>79</v>
      </c>
      <c r="AC43" s="93"/>
      <c r="AD43" s="147">
        <v>1</v>
      </c>
    </row>
    <row r="44" spans="1:30" s="8" customFormat="1" ht="266.25" hidden="1" customHeight="1" x14ac:dyDescent="0.4">
      <c r="A44" s="88">
        <v>43</v>
      </c>
      <c r="B44" s="88" t="s">
        <v>236</v>
      </c>
      <c r="C44" s="88" t="s">
        <v>237</v>
      </c>
      <c r="D44" s="88" t="s">
        <v>238</v>
      </c>
      <c r="E44" s="88"/>
      <c r="F44" s="88" t="s">
        <v>33</v>
      </c>
      <c r="G44" s="88" t="s">
        <v>239</v>
      </c>
      <c r="H44" s="88" t="s">
        <v>37</v>
      </c>
      <c r="I44" s="88" t="s">
        <v>240</v>
      </c>
      <c r="J44" s="88" t="s">
        <v>35</v>
      </c>
      <c r="K44" s="88" t="s">
        <v>38</v>
      </c>
      <c r="L44" s="88" t="s">
        <v>47</v>
      </c>
      <c r="M44" s="88" t="s">
        <v>241</v>
      </c>
      <c r="N44" s="88" t="s">
        <v>242</v>
      </c>
      <c r="O44" s="88"/>
      <c r="P44" s="88"/>
      <c r="Q44" s="88"/>
      <c r="R44" s="88"/>
      <c r="S44" s="88"/>
      <c r="T44" s="88">
        <v>4</v>
      </c>
      <c r="U44" s="88"/>
      <c r="V44" s="88">
        <v>4</v>
      </c>
      <c r="W44" s="88"/>
      <c r="X44" s="92" t="s">
        <v>185</v>
      </c>
      <c r="Y44" s="88" t="s">
        <v>79</v>
      </c>
      <c r="Z44" s="88"/>
      <c r="AA44" s="92" t="s">
        <v>185</v>
      </c>
      <c r="AB44" s="88" t="s">
        <v>79</v>
      </c>
      <c r="AC44" s="93"/>
      <c r="AD44" s="147">
        <v>1</v>
      </c>
    </row>
    <row r="45" spans="1:30" s="8" customFormat="1" ht="219" hidden="1" customHeight="1" x14ac:dyDescent="0.4">
      <c r="A45" s="88">
        <v>44</v>
      </c>
      <c r="B45" s="88" t="s">
        <v>236</v>
      </c>
      <c r="C45" s="88" t="s">
        <v>243</v>
      </c>
      <c r="D45" s="88" t="s">
        <v>244</v>
      </c>
      <c r="E45" s="88"/>
      <c r="F45" s="88" t="s">
        <v>33</v>
      </c>
      <c r="G45" s="88" t="s">
        <v>245</v>
      </c>
      <c r="H45" s="88" t="s">
        <v>37</v>
      </c>
      <c r="I45" s="88" t="s">
        <v>246</v>
      </c>
      <c r="J45" s="88" t="s">
        <v>37</v>
      </c>
      <c r="K45" s="88" t="s">
        <v>38</v>
      </c>
      <c r="L45" s="88" t="s">
        <v>247</v>
      </c>
      <c r="M45" s="88"/>
      <c r="N45" s="88"/>
      <c r="O45" s="88"/>
      <c r="P45" s="88"/>
      <c r="Q45" s="88"/>
      <c r="R45" s="88" t="s">
        <v>154</v>
      </c>
      <c r="S45" s="88"/>
      <c r="T45" s="88"/>
      <c r="U45" s="88"/>
      <c r="V45" s="88"/>
      <c r="W45" s="88"/>
      <c r="X45" s="92" t="s">
        <v>185</v>
      </c>
      <c r="Y45" s="88" t="s">
        <v>75</v>
      </c>
      <c r="Z45" s="88"/>
      <c r="AA45" s="92" t="s">
        <v>185</v>
      </c>
      <c r="AB45" s="88" t="s">
        <v>75</v>
      </c>
      <c r="AC45" s="93"/>
      <c r="AD45" s="147">
        <v>1</v>
      </c>
    </row>
    <row r="46" spans="1:30" s="8" customFormat="1" ht="364.5" hidden="1" customHeight="1" x14ac:dyDescent="0.4">
      <c r="A46" s="88">
        <v>45</v>
      </c>
      <c r="B46" s="88" t="s">
        <v>236</v>
      </c>
      <c r="C46" s="88" t="s">
        <v>248</v>
      </c>
      <c r="D46" s="88" t="s">
        <v>32</v>
      </c>
      <c r="E46" s="88"/>
      <c r="F46" s="88" t="s">
        <v>164</v>
      </c>
      <c r="G46" s="88" t="s">
        <v>249</v>
      </c>
      <c r="H46" s="88" t="s">
        <v>37</v>
      </c>
      <c r="I46" s="88" t="s">
        <v>250</v>
      </c>
      <c r="J46" s="88" t="s">
        <v>37</v>
      </c>
      <c r="K46" s="88" t="s">
        <v>38</v>
      </c>
      <c r="L46" s="88" t="s">
        <v>158</v>
      </c>
      <c r="M46" s="88" t="s">
        <v>251</v>
      </c>
      <c r="N46" s="88" t="s">
        <v>252</v>
      </c>
      <c r="O46" s="88"/>
      <c r="P46" s="88" t="s">
        <v>153</v>
      </c>
      <c r="Q46" s="88"/>
      <c r="R46" s="88" t="s">
        <v>154</v>
      </c>
      <c r="S46" s="88"/>
      <c r="T46" s="88" t="s">
        <v>61</v>
      </c>
      <c r="U46" s="88"/>
      <c r="V46" s="88">
        <v>1</v>
      </c>
      <c r="W46" s="88"/>
      <c r="X46" s="92" t="s">
        <v>91</v>
      </c>
      <c r="Y46" s="88" t="s">
        <v>43</v>
      </c>
      <c r="Z46" s="88"/>
      <c r="AA46" s="92" t="s">
        <v>91</v>
      </c>
      <c r="AB46" s="88" t="s">
        <v>43</v>
      </c>
      <c r="AC46" s="93"/>
      <c r="AD46" s="147">
        <v>1</v>
      </c>
    </row>
    <row r="47" spans="1:30" s="8" customFormat="1" ht="165" hidden="1" customHeight="1" x14ac:dyDescent="0.4">
      <c r="A47" s="88">
        <v>46</v>
      </c>
      <c r="B47" s="88" t="s">
        <v>236</v>
      </c>
      <c r="C47" s="88" t="s">
        <v>253</v>
      </c>
      <c r="D47" s="88" t="s">
        <v>254</v>
      </c>
      <c r="E47" s="88"/>
      <c r="F47" s="88" t="s">
        <v>164</v>
      </c>
      <c r="G47" s="88" t="s">
        <v>255</v>
      </c>
      <c r="H47" s="88" t="s">
        <v>37</v>
      </c>
      <c r="I47" s="88" t="s">
        <v>256</v>
      </c>
      <c r="J47" s="88" t="s">
        <v>37</v>
      </c>
      <c r="K47" s="88" t="s">
        <v>38</v>
      </c>
      <c r="L47" s="88" t="s">
        <v>39</v>
      </c>
      <c r="M47" s="88"/>
      <c r="N47" s="88"/>
      <c r="O47" s="108"/>
      <c r="P47" s="94"/>
      <c r="Q47" s="94"/>
      <c r="R47" s="94"/>
      <c r="S47" s="94"/>
      <c r="T47" s="94"/>
      <c r="U47" s="106"/>
      <c r="V47" s="88"/>
      <c r="W47" s="88"/>
      <c r="X47" s="92" t="s">
        <v>91</v>
      </c>
      <c r="Y47" s="88" t="s">
        <v>91</v>
      </c>
      <c r="Z47" s="88"/>
      <c r="AA47" s="92" t="s">
        <v>91</v>
      </c>
      <c r="AB47" s="88" t="s">
        <v>91</v>
      </c>
      <c r="AC47" s="93"/>
      <c r="AD47" s="147">
        <v>1</v>
      </c>
    </row>
    <row r="48" spans="1:30" s="8" customFormat="1" ht="99" hidden="1" customHeight="1" x14ac:dyDescent="0.4">
      <c r="A48" s="88">
        <v>47</v>
      </c>
      <c r="B48" s="88" t="s">
        <v>236</v>
      </c>
      <c r="C48" s="104" t="s">
        <v>257</v>
      </c>
      <c r="D48" s="88" t="s">
        <v>258</v>
      </c>
      <c r="E48" s="88"/>
      <c r="F48" s="88" t="s">
        <v>164</v>
      </c>
      <c r="G48" s="88" t="s">
        <v>259</v>
      </c>
      <c r="H48" s="88" t="s">
        <v>35</v>
      </c>
      <c r="I48" s="88" t="s">
        <v>202</v>
      </c>
      <c r="J48" s="88" t="s">
        <v>37</v>
      </c>
      <c r="K48" s="88" t="s">
        <v>38</v>
      </c>
      <c r="L48" s="88" t="s">
        <v>78</v>
      </c>
      <c r="M48" s="88" t="s">
        <v>150</v>
      </c>
      <c r="N48" s="88" t="s">
        <v>260</v>
      </c>
      <c r="O48" s="88"/>
      <c r="P48" s="88"/>
      <c r="Q48" s="88"/>
      <c r="R48" s="88"/>
      <c r="S48" s="88"/>
      <c r="T48" s="88"/>
      <c r="U48" s="88"/>
      <c r="V48" s="88"/>
      <c r="W48" s="88"/>
      <c r="X48" s="92" t="s">
        <v>91</v>
      </c>
      <c r="Y48" s="88" t="s">
        <v>79</v>
      </c>
      <c r="Z48" s="88"/>
      <c r="AA48" s="92" t="s">
        <v>91</v>
      </c>
      <c r="AB48" s="88" t="s">
        <v>79</v>
      </c>
      <c r="AC48" s="93"/>
      <c r="AD48" s="147">
        <v>1</v>
      </c>
    </row>
    <row r="49" spans="1:30" s="8" customFormat="1" ht="205.5" hidden="1" customHeight="1" x14ac:dyDescent="0.4">
      <c r="A49" s="88">
        <v>48</v>
      </c>
      <c r="B49" s="88" t="s">
        <v>236</v>
      </c>
      <c r="C49" s="104" t="s">
        <v>261</v>
      </c>
      <c r="D49" s="88" t="s">
        <v>262</v>
      </c>
      <c r="E49" s="88"/>
      <c r="F49" s="88" t="s">
        <v>164</v>
      </c>
      <c r="G49" s="88" t="s">
        <v>263</v>
      </c>
      <c r="H49" s="88" t="s">
        <v>37</v>
      </c>
      <c r="I49" s="88" t="s">
        <v>202</v>
      </c>
      <c r="J49" s="88" t="s">
        <v>37</v>
      </c>
      <c r="K49" s="88" t="s">
        <v>38</v>
      </c>
      <c r="L49" s="88" t="s">
        <v>78</v>
      </c>
      <c r="M49" s="88" t="s">
        <v>241</v>
      </c>
      <c r="N49" s="88" t="s">
        <v>264</v>
      </c>
      <c r="O49" s="88"/>
      <c r="P49" s="88"/>
      <c r="Q49" s="88"/>
      <c r="R49" s="88">
        <v>1</v>
      </c>
      <c r="S49" s="88"/>
      <c r="T49" s="88">
        <v>1</v>
      </c>
      <c r="U49" s="88"/>
      <c r="V49" s="88">
        <v>1</v>
      </c>
      <c r="W49" s="88"/>
      <c r="X49" s="92" t="s">
        <v>91</v>
      </c>
      <c r="Y49" s="88" t="s">
        <v>91</v>
      </c>
      <c r="Z49" s="88"/>
      <c r="AA49" s="92" t="s">
        <v>91</v>
      </c>
      <c r="AB49" s="88" t="s">
        <v>91</v>
      </c>
      <c r="AC49" s="93"/>
      <c r="AD49" s="147">
        <v>1</v>
      </c>
    </row>
    <row r="50" spans="1:30" s="8" customFormat="1" ht="123" hidden="1" customHeight="1" x14ac:dyDescent="0.4">
      <c r="A50" s="88">
        <v>49</v>
      </c>
      <c r="B50" s="88" t="s">
        <v>236</v>
      </c>
      <c r="C50" s="104" t="s">
        <v>265</v>
      </c>
      <c r="D50" s="88" t="s">
        <v>266</v>
      </c>
      <c r="E50" s="88"/>
      <c r="F50" s="88" t="s">
        <v>164</v>
      </c>
      <c r="G50" s="88" t="s">
        <v>267</v>
      </c>
      <c r="H50" s="88" t="s">
        <v>35</v>
      </c>
      <c r="I50" s="88" t="s">
        <v>268</v>
      </c>
      <c r="J50" s="88" t="s">
        <v>37</v>
      </c>
      <c r="K50" s="88" t="s">
        <v>38</v>
      </c>
      <c r="L50" s="88" t="s">
        <v>269</v>
      </c>
      <c r="M50" s="88" t="s">
        <v>203</v>
      </c>
      <c r="N50" s="88" t="s">
        <v>270</v>
      </c>
      <c r="O50" s="88" t="s">
        <v>271</v>
      </c>
      <c r="P50" s="88"/>
      <c r="Q50" s="88"/>
      <c r="R50" s="88" t="s">
        <v>154</v>
      </c>
      <c r="S50" s="88"/>
      <c r="T50" s="88" t="s">
        <v>57</v>
      </c>
      <c r="U50" s="88"/>
      <c r="V50" s="88"/>
      <c r="W50" s="88"/>
      <c r="X50" s="92" t="s">
        <v>79</v>
      </c>
      <c r="Y50" s="88" t="s">
        <v>91</v>
      </c>
      <c r="Z50" s="88"/>
      <c r="AA50" s="92" t="s">
        <v>79</v>
      </c>
      <c r="AB50" s="88" t="s">
        <v>91</v>
      </c>
      <c r="AC50" s="93"/>
      <c r="AD50" s="147">
        <v>1</v>
      </c>
    </row>
    <row r="51" spans="1:30" s="8" customFormat="1" ht="350.25" hidden="1" customHeight="1" x14ac:dyDescent="0.4">
      <c r="A51" s="88">
        <v>50</v>
      </c>
      <c r="B51" s="88" t="s">
        <v>236</v>
      </c>
      <c r="C51" s="104" t="s">
        <v>272</v>
      </c>
      <c r="D51" s="88" t="s">
        <v>273</v>
      </c>
      <c r="E51" s="88"/>
      <c r="F51" s="88" t="s">
        <v>164</v>
      </c>
      <c r="G51" s="88" t="s">
        <v>274</v>
      </c>
      <c r="H51" s="88" t="s">
        <v>37</v>
      </c>
      <c r="I51" s="88" t="s">
        <v>256</v>
      </c>
      <c r="J51" s="88" t="s">
        <v>37</v>
      </c>
      <c r="K51" s="88" t="s">
        <v>38</v>
      </c>
      <c r="L51" s="88" t="s">
        <v>275</v>
      </c>
      <c r="M51" s="88" t="s">
        <v>241</v>
      </c>
      <c r="N51" s="88" t="s">
        <v>276</v>
      </c>
      <c r="O51" s="88"/>
      <c r="P51" s="88" t="s">
        <v>153</v>
      </c>
      <c r="Q51" s="88"/>
      <c r="R51" s="88" t="s">
        <v>57</v>
      </c>
      <c r="S51" s="88" t="s">
        <v>277</v>
      </c>
      <c r="T51" s="88" t="s">
        <v>61</v>
      </c>
      <c r="U51" s="88"/>
      <c r="V51" s="88" t="s">
        <v>59</v>
      </c>
      <c r="W51" s="88"/>
      <c r="X51" s="92" t="s">
        <v>79</v>
      </c>
      <c r="Y51" s="88" t="s">
        <v>43</v>
      </c>
      <c r="Z51" s="88"/>
      <c r="AA51" s="92" t="s">
        <v>79</v>
      </c>
      <c r="AB51" s="88" t="s">
        <v>43</v>
      </c>
      <c r="AC51" s="93"/>
      <c r="AD51" s="147">
        <v>1</v>
      </c>
    </row>
    <row r="52" spans="1:30" s="8" customFormat="1" ht="162.75" hidden="1" customHeight="1" x14ac:dyDescent="0.4">
      <c r="A52" s="88">
        <v>51</v>
      </c>
      <c r="B52" s="88" t="s">
        <v>278</v>
      </c>
      <c r="C52" s="104" t="s">
        <v>279</v>
      </c>
      <c r="D52" s="88" t="s">
        <v>280</v>
      </c>
      <c r="E52" s="95" t="s">
        <v>281</v>
      </c>
      <c r="F52" s="88">
        <v>2026</v>
      </c>
      <c r="G52" s="88" t="s">
        <v>34</v>
      </c>
      <c r="H52" s="88" t="s">
        <v>35</v>
      </c>
      <c r="I52" s="88" t="s">
        <v>282</v>
      </c>
      <c r="J52" s="88" t="s">
        <v>37</v>
      </c>
      <c r="K52" s="88" t="s">
        <v>38</v>
      </c>
      <c r="L52" s="88" t="s">
        <v>283</v>
      </c>
      <c r="M52" s="88"/>
      <c r="N52" s="88"/>
      <c r="O52" s="88"/>
      <c r="P52" s="88"/>
      <c r="Q52" s="88" t="s">
        <v>284</v>
      </c>
      <c r="R52" s="88"/>
      <c r="S52" s="88"/>
      <c r="T52" s="88"/>
      <c r="U52" s="88"/>
      <c r="V52" s="88"/>
      <c r="W52" s="88"/>
      <c r="X52" s="92" t="s">
        <v>43</v>
      </c>
      <c r="Y52" s="88" t="s">
        <v>91</v>
      </c>
      <c r="Z52" s="88"/>
      <c r="AA52" s="92" t="s">
        <v>43</v>
      </c>
      <c r="AB52" s="88" t="s">
        <v>91</v>
      </c>
      <c r="AC52" s="93"/>
      <c r="AD52" s="147">
        <v>1</v>
      </c>
    </row>
    <row r="53" spans="1:30" s="8" customFormat="1" ht="351" hidden="1" customHeight="1" x14ac:dyDescent="0.4">
      <c r="A53" s="88">
        <v>52</v>
      </c>
      <c r="B53" s="88" t="s">
        <v>278</v>
      </c>
      <c r="C53" s="104" t="s">
        <v>285</v>
      </c>
      <c r="D53" s="88" t="s">
        <v>286</v>
      </c>
      <c r="E53" s="95" t="s">
        <v>287</v>
      </c>
      <c r="F53" s="88" t="s">
        <v>288</v>
      </c>
      <c r="G53" s="88" t="s">
        <v>34</v>
      </c>
      <c r="H53" s="88" t="s">
        <v>35</v>
      </c>
      <c r="I53" s="88" t="s">
        <v>289</v>
      </c>
      <c r="J53" s="88" t="s">
        <v>37</v>
      </c>
      <c r="K53" s="88" t="s">
        <v>145</v>
      </c>
      <c r="L53" s="88" t="s">
        <v>290</v>
      </c>
      <c r="M53" s="88" t="s">
        <v>159</v>
      </c>
      <c r="N53" s="88" t="s">
        <v>291</v>
      </c>
      <c r="O53" s="88" t="s">
        <v>271</v>
      </c>
      <c r="P53" s="88" t="s">
        <v>57</v>
      </c>
      <c r="Q53" s="88">
        <v>5</v>
      </c>
      <c r="R53" s="88" t="s">
        <v>59</v>
      </c>
      <c r="S53" s="88" t="s">
        <v>74</v>
      </c>
      <c r="T53" s="88" t="s">
        <v>61</v>
      </c>
      <c r="U53" s="88"/>
      <c r="V53" s="95" t="s">
        <v>154</v>
      </c>
      <c r="W53" s="95"/>
      <c r="X53" s="92" t="s">
        <v>43</v>
      </c>
      <c r="Y53" s="88" t="s">
        <v>43</v>
      </c>
      <c r="Z53" s="88"/>
      <c r="AA53" s="92" t="s">
        <v>43</v>
      </c>
      <c r="AB53" s="88" t="s">
        <v>43</v>
      </c>
      <c r="AC53" s="93"/>
      <c r="AD53" s="147">
        <v>1</v>
      </c>
    </row>
    <row r="54" spans="1:30" s="8" customFormat="1" ht="206.25" hidden="1" customHeight="1" x14ac:dyDescent="0.4">
      <c r="A54" s="88">
        <v>53</v>
      </c>
      <c r="B54" s="88" t="s">
        <v>278</v>
      </c>
      <c r="C54" s="104"/>
      <c r="D54" s="95"/>
      <c r="E54" s="95" t="s">
        <v>292</v>
      </c>
      <c r="F54" s="88"/>
      <c r="G54" s="88" t="s">
        <v>34</v>
      </c>
      <c r="H54" s="88" t="s">
        <v>35</v>
      </c>
      <c r="I54" s="88" t="s">
        <v>289</v>
      </c>
      <c r="J54" s="88" t="s">
        <v>37</v>
      </c>
      <c r="K54" s="88" t="s">
        <v>145</v>
      </c>
      <c r="L54" s="88" t="s">
        <v>290</v>
      </c>
      <c r="M54" s="88" t="s">
        <v>40</v>
      </c>
      <c r="N54" s="88" t="s">
        <v>291</v>
      </c>
      <c r="O54" s="108"/>
      <c r="P54" s="94"/>
      <c r="Q54" s="94"/>
      <c r="R54" s="94"/>
      <c r="S54" s="88" t="s">
        <v>98</v>
      </c>
      <c r="T54" s="94"/>
      <c r="U54" s="106"/>
      <c r="V54" s="88">
        <v>21</v>
      </c>
      <c r="W54" s="95"/>
      <c r="X54" s="92" t="s">
        <v>79</v>
      </c>
      <c r="Y54" s="88" t="s">
        <v>43</v>
      </c>
      <c r="Z54" s="88"/>
      <c r="AA54" s="92" t="s">
        <v>79</v>
      </c>
      <c r="AB54" s="88" t="s">
        <v>43</v>
      </c>
      <c r="AC54" s="93"/>
      <c r="AD54" s="147">
        <v>1</v>
      </c>
    </row>
    <row r="55" spans="1:30" s="8" customFormat="1" ht="206.25" hidden="1" customHeight="1" x14ac:dyDescent="0.4">
      <c r="A55" s="88">
        <v>54</v>
      </c>
      <c r="B55" s="88" t="s">
        <v>278</v>
      </c>
      <c r="C55" s="104"/>
      <c r="D55" s="95"/>
      <c r="E55" s="95" t="s">
        <v>293</v>
      </c>
      <c r="F55" s="88">
        <v>2026</v>
      </c>
      <c r="G55" s="88" t="s">
        <v>34</v>
      </c>
      <c r="H55" s="88" t="s">
        <v>35</v>
      </c>
      <c r="I55" s="88" t="s">
        <v>289</v>
      </c>
      <c r="J55" s="88" t="s">
        <v>37</v>
      </c>
      <c r="K55" s="88" t="s">
        <v>38</v>
      </c>
      <c r="L55" s="88" t="s">
        <v>294</v>
      </c>
      <c r="M55" s="88"/>
      <c r="N55" s="88"/>
      <c r="O55" s="108"/>
      <c r="P55" s="94"/>
      <c r="Q55" s="94"/>
      <c r="R55" s="94"/>
      <c r="S55" s="94"/>
      <c r="T55" s="106"/>
      <c r="U55" s="106"/>
      <c r="V55" s="88"/>
      <c r="W55" s="95"/>
      <c r="X55" s="92" t="s">
        <v>79</v>
      </c>
      <c r="Y55" s="88" t="s">
        <v>91</v>
      </c>
      <c r="Z55" s="88"/>
      <c r="AA55" s="92" t="s">
        <v>79</v>
      </c>
      <c r="AB55" s="88" t="s">
        <v>91</v>
      </c>
      <c r="AC55" s="93"/>
      <c r="AD55" s="147">
        <v>1</v>
      </c>
    </row>
    <row r="56" spans="1:30" s="8" customFormat="1" ht="206.25" hidden="1" customHeight="1" x14ac:dyDescent="0.4">
      <c r="A56" s="88">
        <v>55</v>
      </c>
      <c r="B56" s="88" t="s">
        <v>278</v>
      </c>
      <c r="C56" s="104"/>
      <c r="D56" s="95"/>
      <c r="E56" s="95" t="s">
        <v>295</v>
      </c>
      <c r="F56" s="88">
        <v>2026</v>
      </c>
      <c r="G56" s="88" t="s">
        <v>34</v>
      </c>
      <c r="H56" s="88" t="s">
        <v>35</v>
      </c>
      <c r="I56" s="88" t="s">
        <v>289</v>
      </c>
      <c r="J56" s="88" t="s">
        <v>37</v>
      </c>
      <c r="K56" s="88" t="s">
        <v>38</v>
      </c>
      <c r="L56" s="88" t="s">
        <v>290</v>
      </c>
      <c r="M56" s="88"/>
      <c r="N56" s="88"/>
      <c r="O56" s="108"/>
      <c r="P56" s="94"/>
      <c r="Q56" s="94"/>
      <c r="R56" s="94"/>
      <c r="S56" s="94"/>
      <c r="T56" s="94"/>
      <c r="U56" s="106"/>
      <c r="V56" s="88"/>
      <c r="W56" s="95"/>
      <c r="X56" s="92" t="s">
        <v>79</v>
      </c>
      <c r="Y56" s="88" t="s">
        <v>79</v>
      </c>
      <c r="Z56" s="88"/>
      <c r="AA56" s="92" t="s">
        <v>79</v>
      </c>
      <c r="AB56" s="88" t="s">
        <v>79</v>
      </c>
      <c r="AC56" s="93"/>
      <c r="AD56" s="147">
        <v>1</v>
      </c>
    </row>
    <row r="57" spans="1:30" s="8" customFormat="1" ht="206.25" hidden="1" customHeight="1" x14ac:dyDescent="0.4">
      <c r="A57" s="88">
        <v>56</v>
      </c>
      <c r="B57" s="88" t="s">
        <v>278</v>
      </c>
      <c r="C57" s="104" t="s">
        <v>296</v>
      </c>
      <c r="D57" s="88" t="s">
        <v>297</v>
      </c>
      <c r="E57" s="95" t="s">
        <v>298</v>
      </c>
      <c r="F57" s="88"/>
      <c r="G57" s="88" t="s">
        <v>34</v>
      </c>
      <c r="H57" s="88" t="s">
        <v>35</v>
      </c>
      <c r="I57" s="88" t="s">
        <v>299</v>
      </c>
      <c r="J57" s="88" t="s">
        <v>37</v>
      </c>
      <c r="K57" s="88" t="s">
        <v>38</v>
      </c>
      <c r="L57" s="88" t="s">
        <v>83</v>
      </c>
      <c r="M57" s="88"/>
      <c r="N57" s="88"/>
      <c r="O57" s="88"/>
      <c r="P57" s="88"/>
      <c r="Q57" s="97" t="s">
        <v>74</v>
      </c>
      <c r="R57" s="88"/>
      <c r="S57" s="88" t="s">
        <v>300</v>
      </c>
      <c r="T57" s="110"/>
      <c r="U57" s="110"/>
      <c r="V57" s="110"/>
      <c r="W57" s="110"/>
      <c r="X57" s="92" t="s">
        <v>43</v>
      </c>
      <c r="Y57" s="88" t="s">
        <v>43</v>
      </c>
      <c r="Z57" s="88"/>
      <c r="AA57" s="92" t="s">
        <v>43</v>
      </c>
      <c r="AB57" s="88" t="s">
        <v>43</v>
      </c>
      <c r="AC57" s="93"/>
      <c r="AD57" s="147">
        <v>1</v>
      </c>
    </row>
    <row r="58" spans="1:30" s="8" customFormat="1" ht="206.25" hidden="1" customHeight="1" x14ac:dyDescent="0.4">
      <c r="A58" s="88">
        <v>57</v>
      </c>
      <c r="B58" s="88" t="s">
        <v>278</v>
      </c>
      <c r="C58" s="104"/>
      <c r="D58" s="95"/>
      <c r="E58" s="95" t="s">
        <v>301</v>
      </c>
      <c r="F58" s="88" t="s">
        <v>302</v>
      </c>
      <c r="G58" s="88" t="s">
        <v>34</v>
      </c>
      <c r="H58" s="88" t="s">
        <v>35</v>
      </c>
      <c r="I58" s="88" t="s">
        <v>299</v>
      </c>
      <c r="J58" s="88" t="s">
        <v>37</v>
      </c>
      <c r="K58" s="88" t="s">
        <v>38</v>
      </c>
      <c r="L58" s="88" t="s">
        <v>83</v>
      </c>
      <c r="M58" s="88"/>
      <c r="N58" s="88">
        <v>212</v>
      </c>
      <c r="O58" s="88"/>
      <c r="P58" s="88">
        <v>33</v>
      </c>
      <c r="Q58" s="97" t="s">
        <v>303</v>
      </c>
      <c r="R58" s="88">
        <v>28</v>
      </c>
      <c r="S58" s="88" t="s">
        <v>304</v>
      </c>
      <c r="T58" s="110" t="s">
        <v>61</v>
      </c>
      <c r="U58" s="110"/>
      <c r="V58" s="110" t="s">
        <v>153</v>
      </c>
      <c r="W58" s="110"/>
      <c r="X58" s="92" t="s">
        <v>43</v>
      </c>
      <c r="Y58" s="88" t="s">
        <v>42</v>
      </c>
      <c r="Z58" s="88"/>
      <c r="AA58" s="92" t="s">
        <v>43</v>
      </c>
      <c r="AB58" s="88" t="s">
        <v>42</v>
      </c>
      <c r="AC58" s="93"/>
      <c r="AD58" s="147">
        <v>1</v>
      </c>
    </row>
    <row r="59" spans="1:30" s="8" customFormat="1" ht="206.25" hidden="1" customHeight="1" x14ac:dyDescent="0.4">
      <c r="A59" s="88">
        <v>58</v>
      </c>
      <c r="B59" s="88" t="s">
        <v>278</v>
      </c>
      <c r="C59" s="104"/>
      <c r="D59" s="95"/>
      <c r="E59" s="95" t="s">
        <v>305</v>
      </c>
      <c r="F59" s="88" t="s">
        <v>302</v>
      </c>
      <c r="G59" s="88" t="s">
        <v>34</v>
      </c>
      <c r="H59" s="88" t="s">
        <v>35</v>
      </c>
      <c r="I59" s="88" t="s">
        <v>299</v>
      </c>
      <c r="J59" s="88" t="s">
        <v>37</v>
      </c>
      <c r="K59" s="88" t="s">
        <v>38</v>
      </c>
      <c r="L59" s="88" t="s">
        <v>83</v>
      </c>
      <c r="M59" s="88"/>
      <c r="N59" s="88">
        <v>46</v>
      </c>
      <c r="O59" s="88"/>
      <c r="P59" s="88">
        <v>3</v>
      </c>
      <c r="Q59" s="97" t="s">
        <v>306</v>
      </c>
      <c r="R59" s="88">
        <v>5</v>
      </c>
      <c r="S59" s="88" t="s">
        <v>98</v>
      </c>
      <c r="T59" s="110" t="s">
        <v>154</v>
      </c>
      <c r="U59" s="110"/>
      <c r="V59" s="110" t="s">
        <v>57</v>
      </c>
      <c r="W59" s="110"/>
      <c r="X59" s="92" t="s">
        <v>43</v>
      </c>
      <c r="Y59" s="88" t="s">
        <v>42</v>
      </c>
      <c r="Z59" s="88"/>
      <c r="AA59" s="92" t="s">
        <v>43</v>
      </c>
      <c r="AB59" s="88" t="s">
        <v>42</v>
      </c>
      <c r="AC59" s="93"/>
      <c r="AD59" s="147">
        <v>1</v>
      </c>
    </row>
    <row r="60" spans="1:30" s="8" customFormat="1" ht="206.25" hidden="1" customHeight="1" x14ac:dyDescent="0.4">
      <c r="A60" s="88">
        <v>59</v>
      </c>
      <c r="B60" s="88" t="s">
        <v>278</v>
      </c>
      <c r="C60" s="104"/>
      <c r="D60" s="95"/>
      <c r="E60" s="95" t="s">
        <v>307</v>
      </c>
      <c r="F60" s="88" t="s">
        <v>302</v>
      </c>
      <c r="G60" s="88" t="s">
        <v>34</v>
      </c>
      <c r="H60" s="88" t="s">
        <v>35</v>
      </c>
      <c r="I60" s="88" t="s">
        <v>299</v>
      </c>
      <c r="J60" s="88" t="s">
        <v>37</v>
      </c>
      <c r="K60" s="88" t="s">
        <v>38</v>
      </c>
      <c r="L60" s="88" t="s">
        <v>83</v>
      </c>
      <c r="M60" s="88"/>
      <c r="N60" s="88">
        <v>232</v>
      </c>
      <c r="O60" s="88"/>
      <c r="P60" s="88">
        <v>36</v>
      </c>
      <c r="Q60" s="97" t="s">
        <v>58</v>
      </c>
      <c r="R60" s="88">
        <v>72</v>
      </c>
      <c r="S60" s="88" t="s">
        <v>308</v>
      </c>
      <c r="T60" s="110" t="s">
        <v>61</v>
      </c>
      <c r="U60" s="110"/>
      <c r="V60" s="110" t="s">
        <v>62</v>
      </c>
      <c r="W60" s="110"/>
      <c r="X60" s="92" t="s">
        <v>43</v>
      </c>
      <c r="Y60" s="88" t="s">
        <v>91</v>
      </c>
      <c r="Z60" s="88"/>
      <c r="AA60" s="92" t="s">
        <v>43</v>
      </c>
      <c r="AB60" s="88" t="s">
        <v>91</v>
      </c>
      <c r="AC60" s="93"/>
      <c r="AD60" s="147">
        <v>1</v>
      </c>
    </row>
    <row r="61" spans="1:30" s="8" customFormat="1" ht="249" hidden="1" customHeight="1" x14ac:dyDescent="0.4">
      <c r="A61" s="88">
        <v>60</v>
      </c>
      <c r="B61" s="88" t="s">
        <v>309</v>
      </c>
      <c r="C61" s="88" t="s">
        <v>310</v>
      </c>
      <c r="D61" s="92" t="s">
        <v>311</v>
      </c>
      <c r="E61" s="92"/>
      <c r="F61" s="88" t="s">
        <v>312</v>
      </c>
      <c r="G61" s="88" t="s">
        <v>313</v>
      </c>
      <c r="H61" s="88" t="s">
        <v>37</v>
      </c>
      <c r="I61" s="88" t="s">
        <v>314</v>
      </c>
      <c r="J61" s="88" t="s">
        <v>37</v>
      </c>
      <c r="K61" s="88" t="s">
        <v>38</v>
      </c>
      <c r="L61" s="88" t="s">
        <v>315</v>
      </c>
      <c r="M61" s="88"/>
      <c r="N61" s="88"/>
      <c r="O61" s="88"/>
      <c r="P61" s="88"/>
      <c r="Q61" s="88"/>
      <c r="R61" s="88"/>
      <c r="S61" s="88"/>
      <c r="T61" s="88"/>
      <c r="U61" s="88"/>
      <c r="V61" s="88"/>
      <c r="W61" s="88"/>
      <c r="X61" s="92" t="s">
        <v>91</v>
      </c>
      <c r="Y61" s="88" t="s">
        <v>79</v>
      </c>
      <c r="Z61" s="88"/>
      <c r="AA61" s="92" t="s">
        <v>91</v>
      </c>
      <c r="AB61" s="88" t="s">
        <v>79</v>
      </c>
      <c r="AC61" s="93"/>
      <c r="AD61" s="147">
        <v>1</v>
      </c>
    </row>
    <row r="62" spans="1:30" s="8" customFormat="1" ht="240.75" hidden="1" customHeight="1" x14ac:dyDescent="0.4">
      <c r="A62" s="88">
        <v>61</v>
      </c>
      <c r="B62" s="88" t="s">
        <v>309</v>
      </c>
      <c r="C62" s="88" t="s">
        <v>316</v>
      </c>
      <c r="D62" s="92" t="s">
        <v>317</v>
      </c>
      <c r="E62" s="92"/>
      <c r="F62" s="88" t="s">
        <v>318</v>
      </c>
      <c r="G62" s="88" t="s">
        <v>319</v>
      </c>
      <c r="H62" s="88" t="s">
        <v>37</v>
      </c>
      <c r="I62" s="88" t="s">
        <v>320</v>
      </c>
      <c r="J62" s="88" t="s">
        <v>35</v>
      </c>
      <c r="K62" s="88" t="s">
        <v>38</v>
      </c>
      <c r="L62" s="88" t="s">
        <v>321</v>
      </c>
      <c r="M62" s="88"/>
      <c r="N62" s="88"/>
      <c r="O62" s="88"/>
      <c r="P62" s="88"/>
      <c r="Q62" s="88"/>
      <c r="R62" s="88"/>
      <c r="S62" s="88"/>
      <c r="T62" s="88"/>
      <c r="U62" s="88"/>
      <c r="V62" s="88"/>
      <c r="W62" s="88"/>
      <c r="X62" s="92" t="s">
        <v>79</v>
      </c>
      <c r="Y62" s="88" t="s">
        <v>79</v>
      </c>
      <c r="Z62" s="88"/>
      <c r="AA62" s="92" t="s">
        <v>79</v>
      </c>
      <c r="AB62" s="88" t="s">
        <v>79</v>
      </c>
      <c r="AC62" s="93"/>
      <c r="AD62" s="147">
        <v>1</v>
      </c>
    </row>
    <row r="63" spans="1:30" s="8" customFormat="1" ht="244.5" hidden="1" customHeight="1" x14ac:dyDescent="0.4">
      <c r="A63" s="88">
        <v>62</v>
      </c>
      <c r="B63" s="88" t="s">
        <v>309</v>
      </c>
      <c r="C63" s="88" t="s">
        <v>322</v>
      </c>
      <c r="D63" s="92" t="s">
        <v>323</v>
      </c>
      <c r="E63" s="92"/>
      <c r="F63" s="88" t="s">
        <v>312</v>
      </c>
      <c r="G63" s="88" t="s">
        <v>324</v>
      </c>
      <c r="H63" s="88" t="s">
        <v>35</v>
      </c>
      <c r="I63" s="88" t="s">
        <v>325</v>
      </c>
      <c r="J63" s="88" t="s">
        <v>37</v>
      </c>
      <c r="K63" s="88" t="s">
        <v>38</v>
      </c>
      <c r="L63" s="88" t="s">
        <v>326</v>
      </c>
      <c r="M63" s="88"/>
      <c r="N63" s="88"/>
      <c r="O63" s="88"/>
      <c r="P63" s="88"/>
      <c r="Q63" s="88"/>
      <c r="R63" s="88"/>
      <c r="S63" s="88"/>
      <c r="T63" s="88"/>
      <c r="U63" s="88"/>
      <c r="V63" s="88"/>
      <c r="W63" s="88"/>
      <c r="X63" s="92" t="s">
        <v>79</v>
      </c>
      <c r="Y63" s="88" t="s">
        <v>79</v>
      </c>
      <c r="Z63" s="88"/>
      <c r="AA63" s="92" t="s">
        <v>79</v>
      </c>
      <c r="AB63" s="88" t="s">
        <v>79</v>
      </c>
      <c r="AC63" s="93"/>
      <c r="AD63" s="147">
        <v>1</v>
      </c>
    </row>
    <row r="64" spans="1:30" s="8" customFormat="1" ht="240.75" hidden="1" customHeight="1" x14ac:dyDescent="0.4">
      <c r="A64" s="88">
        <v>63</v>
      </c>
      <c r="B64" s="88" t="s">
        <v>309</v>
      </c>
      <c r="C64" s="88" t="s">
        <v>327</v>
      </c>
      <c r="D64" s="92" t="s">
        <v>328</v>
      </c>
      <c r="E64" s="92"/>
      <c r="F64" s="88" t="s">
        <v>312</v>
      </c>
      <c r="G64" s="88" t="s">
        <v>324</v>
      </c>
      <c r="H64" s="88" t="s">
        <v>35</v>
      </c>
      <c r="I64" s="88" t="s">
        <v>329</v>
      </c>
      <c r="J64" s="88" t="s">
        <v>37</v>
      </c>
      <c r="K64" s="88" t="s">
        <v>38</v>
      </c>
      <c r="L64" s="88" t="s">
        <v>330</v>
      </c>
      <c r="M64" s="88"/>
      <c r="N64" s="88"/>
      <c r="O64" s="88"/>
      <c r="P64" s="88"/>
      <c r="Q64" s="88"/>
      <c r="R64" s="88"/>
      <c r="S64" s="88"/>
      <c r="T64" s="88"/>
      <c r="U64" s="88"/>
      <c r="V64" s="88"/>
      <c r="W64" s="88"/>
      <c r="X64" s="92" t="s">
        <v>185</v>
      </c>
      <c r="Y64" s="88" t="s">
        <v>79</v>
      </c>
      <c r="Z64" s="88"/>
      <c r="AA64" s="92" t="s">
        <v>185</v>
      </c>
      <c r="AB64" s="88" t="s">
        <v>79</v>
      </c>
      <c r="AC64" s="93"/>
      <c r="AD64" s="147">
        <v>1</v>
      </c>
    </row>
    <row r="65" spans="1:30" s="8" customFormat="1" ht="242.25" hidden="1" customHeight="1" x14ac:dyDescent="0.4">
      <c r="A65" s="88">
        <v>64</v>
      </c>
      <c r="B65" s="88" t="s">
        <v>309</v>
      </c>
      <c r="C65" s="88" t="s">
        <v>331</v>
      </c>
      <c r="D65" s="92" t="s">
        <v>332</v>
      </c>
      <c r="E65" s="92"/>
      <c r="F65" s="88" t="s">
        <v>318</v>
      </c>
      <c r="G65" s="88" t="s">
        <v>333</v>
      </c>
      <c r="H65" s="88" t="s">
        <v>37</v>
      </c>
      <c r="I65" s="88" t="s">
        <v>334</v>
      </c>
      <c r="J65" s="88" t="s">
        <v>37</v>
      </c>
      <c r="K65" s="88" t="s">
        <v>38</v>
      </c>
      <c r="L65" s="88" t="s">
        <v>335</v>
      </c>
      <c r="M65" s="88"/>
      <c r="N65" s="88"/>
      <c r="O65" s="88"/>
      <c r="P65" s="88"/>
      <c r="Q65" s="88"/>
      <c r="R65" s="88"/>
      <c r="S65" s="88"/>
      <c r="T65" s="88"/>
      <c r="U65" s="88"/>
      <c r="V65" s="88"/>
      <c r="W65" s="88"/>
      <c r="X65" s="92" t="s">
        <v>42</v>
      </c>
      <c r="Y65" s="88" t="s">
        <v>91</v>
      </c>
      <c r="Z65" s="88"/>
      <c r="AA65" s="92" t="s">
        <v>42</v>
      </c>
      <c r="AB65" s="88" t="s">
        <v>91</v>
      </c>
      <c r="AC65" s="93"/>
      <c r="AD65" s="147">
        <v>1</v>
      </c>
    </row>
    <row r="66" spans="1:30" s="8" customFormat="1" ht="250.5" hidden="1" customHeight="1" x14ac:dyDescent="0.4">
      <c r="A66" s="88">
        <v>65</v>
      </c>
      <c r="B66" s="88" t="s">
        <v>309</v>
      </c>
      <c r="C66" s="88" t="s">
        <v>336</v>
      </c>
      <c r="D66" s="92" t="s">
        <v>337</v>
      </c>
      <c r="E66" s="92"/>
      <c r="F66" s="88" t="s">
        <v>318</v>
      </c>
      <c r="G66" s="88" t="s">
        <v>338</v>
      </c>
      <c r="H66" s="88" t="s">
        <v>37</v>
      </c>
      <c r="I66" s="88" t="s">
        <v>334</v>
      </c>
      <c r="J66" s="88" t="s">
        <v>37</v>
      </c>
      <c r="K66" s="88" t="s">
        <v>38</v>
      </c>
      <c r="L66" s="88" t="s">
        <v>339</v>
      </c>
      <c r="M66" s="88"/>
      <c r="N66" s="88"/>
      <c r="O66" s="88"/>
      <c r="P66" s="88"/>
      <c r="Q66" s="88"/>
      <c r="R66" s="88"/>
      <c r="S66" s="88" t="s">
        <v>340</v>
      </c>
      <c r="T66" s="88"/>
      <c r="U66" s="88"/>
      <c r="V66" s="88"/>
      <c r="W66" s="88"/>
      <c r="X66" s="92" t="s">
        <v>79</v>
      </c>
      <c r="Y66" s="88" t="s">
        <v>43</v>
      </c>
      <c r="Z66" s="88"/>
      <c r="AA66" s="92" t="s">
        <v>79</v>
      </c>
      <c r="AB66" s="88" t="s">
        <v>43</v>
      </c>
      <c r="AC66" s="93"/>
      <c r="AD66" s="147">
        <v>1</v>
      </c>
    </row>
    <row r="67" spans="1:30" s="8" customFormat="1" ht="409.5" customHeight="1" x14ac:dyDescent="0.4">
      <c r="A67" s="88">
        <v>66</v>
      </c>
      <c r="B67" s="88" t="s">
        <v>341</v>
      </c>
      <c r="C67" s="88">
        <v>3</v>
      </c>
      <c r="D67" s="92" t="s">
        <v>342</v>
      </c>
      <c r="E67" s="92"/>
      <c r="F67" s="88" t="s">
        <v>164</v>
      </c>
      <c r="G67" s="88" t="s">
        <v>34</v>
      </c>
      <c r="H67" s="88" t="s">
        <v>35</v>
      </c>
      <c r="I67" s="88" t="s">
        <v>343</v>
      </c>
      <c r="J67" s="88" t="s">
        <v>35</v>
      </c>
      <c r="K67" s="88" t="s">
        <v>38</v>
      </c>
      <c r="L67" s="88" t="s">
        <v>344</v>
      </c>
      <c r="M67" s="88"/>
      <c r="N67" s="88"/>
      <c r="O67" s="88"/>
      <c r="P67" s="88" t="s">
        <v>57</v>
      </c>
      <c r="Q67" s="88"/>
      <c r="R67" s="88" t="s">
        <v>62</v>
      </c>
      <c r="S67" s="88" t="s">
        <v>345</v>
      </c>
      <c r="T67" s="88" t="s">
        <v>61</v>
      </c>
      <c r="U67" s="88"/>
      <c r="V67" s="88" t="s">
        <v>59</v>
      </c>
      <c r="W67" s="88"/>
      <c r="X67" s="92" t="s">
        <v>91</v>
      </c>
      <c r="Y67" s="88" t="s">
        <v>43</v>
      </c>
      <c r="Z67" s="88"/>
      <c r="AA67" s="92" t="s">
        <v>91</v>
      </c>
      <c r="AB67" s="88" t="s">
        <v>43</v>
      </c>
      <c r="AC67" s="93"/>
      <c r="AD67" s="147">
        <v>1</v>
      </c>
    </row>
    <row r="68" spans="1:30" s="8" customFormat="1" ht="156" hidden="1" customHeight="1" x14ac:dyDescent="0.4">
      <c r="A68" s="88">
        <v>67</v>
      </c>
      <c r="B68" s="88" t="s">
        <v>346</v>
      </c>
      <c r="C68" s="88" t="s">
        <v>347</v>
      </c>
      <c r="D68" s="92" t="s">
        <v>348</v>
      </c>
      <c r="E68" s="92" t="s">
        <v>349</v>
      </c>
      <c r="F68" s="88">
        <v>2026</v>
      </c>
      <c r="G68" s="88" t="s">
        <v>350</v>
      </c>
      <c r="H68" s="88" t="s">
        <v>37</v>
      </c>
      <c r="I68" s="88" t="s">
        <v>351</v>
      </c>
      <c r="J68" s="88" t="s">
        <v>35</v>
      </c>
      <c r="K68" s="88" t="s">
        <v>145</v>
      </c>
      <c r="L68" s="88" t="s">
        <v>335</v>
      </c>
      <c r="M68" s="88"/>
      <c r="N68" s="88" t="s">
        <v>352</v>
      </c>
      <c r="O68" s="88"/>
      <c r="P68" s="88"/>
      <c r="Q68" s="88"/>
      <c r="R68" s="88"/>
      <c r="S68" s="88"/>
      <c r="T68" s="88"/>
      <c r="U68" s="88"/>
      <c r="V68" s="88"/>
      <c r="W68" s="88"/>
      <c r="X68" s="92" t="s">
        <v>79</v>
      </c>
      <c r="Y68" s="88" t="s">
        <v>79</v>
      </c>
      <c r="Z68" s="88"/>
      <c r="AA68" s="92" t="s">
        <v>79</v>
      </c>
      <c r="AB68" s="88" t="s">
        <v>79</v>
      </c>
      <c r="AC68" s="93"/>
      <c r="AD68" s="147">
        <v>1</v>
      </c>
    </row>
    <row r="69" spans="1:30" s="8" customFormat="1" ht="156" hidden="1" customHeight="1" x14ac:dyDescent="0.4">
      <c r="A69" s="88">
        <v>68</v>
      </c>
      <c r="B69" s="88" t="s">
        <v>346</v>
      </c>
      <c r="C69" s="102" t="s">
        <v>353</v>
      </c>
      <c r="D69" s="92" t="s">
        <v>354</v>
      </c>
      <c r="E69" s="92" t="s">
        <v>355</v>
      </c>
      <c r="F69" s="88">
        <v>2026</v>
      </c>
      <c r="G69" s="88" t="s">
        <v>356</v>
      </c>
      <c r="H69" s="88" t="s">
        <v>35</v>
      </c>
      <c r="I69" s="88" t="s">
        <v>357</v>
      </c>
      <c r="J69" s="88" t="s">
        <v>37</v>
      </c>
      <c r="K69" s="88" t="s">
        <v>38</v>
      </c>
      <c r="L69" s="88" t="s">
        <v>358</v>
      </c>
      <c r="M69" s="88"/>
      <c r="N69" s="88"/>
      <c r="O69" s="88"/>
      <c r="P69" s="88"/>
      <c r="Q69" s="88" t="s">
        <v>112</v>
      </c>
      <c r="R69" s="88"/>
      <c r="S69" s="88"/>
      <c r="T69" s="88"/>
      <c r="U69" s="88"/>
      <c r="V69" s="88"/>
      <c r="W69" s="88"/>
      <c r="X69" s="92" t="s">
        <v>42</v>
      </c>
      <c r="Y69" s="88" t="s">
        <v>79</v>
      </c>
      <c r="Z69" s="88"/>
      <c r="AA69" s="92" t="s">
        <v>42</v>
      </c>
      <c r="AB69" s="88" t="s">
        <v>79</v>
      </c>
      <c r="AC69" s="93"/>
      <c r="AD69" s="147">
        <v>1</v>
      </c>
    </row>
    <row r="70" spans="1:30" s="8" customFormat="1" ht="195" hidden="1" customHeight="1" x14ac:dyDescent="0.4">
      <c r="A70" s="88">
        <v>69</v>
      </c>
      <c r="B70" s="88" t="s">
        <v>346</v>
      </c>
      <c r="C70" s="88" t="s">
        <v>359</v>
      </c>
      <c r="D70" s="92" t="s">
        <v>360</v>
      </c>
      <c r="E70" s="92" t="s">
        <v>361</v>
      </c>
      <c r="F70" s="88" t="s">
        <v>362</v>
      </c>
      <c r="G70" s="88" t="s">
        <v>363</v>
      </c>
      <c r="H70" s="88" t="s">
        <v>35</v>
      </c>
      <c r="I70" s="88" t="s">
        <v>364</v>
      </c>
      <c r="J70" s="88" t="s">
        <v>35</v>
      </c>
      <c r="K70" s="88" t="s">
        <v>145</v>
      </c>
      <c r="L70" s="88" t="s">
        <v>365</v>
      </c>
      <c r="M70" s="88" t="s">
        <v>366</v>
      </c>
      <c r="N70" s="88" t="s">
        <v>367</v>
      </c>
      <c r="O70" s="88"/>
      <c r="P70" s="88"/>
      <c r="Q70" s="88"/>
      <c r="R70" s="88" t="s">
        <v>153</v>
      </c>
      <c r="S70" s="88"/>
      <c r="T70" s="88" t="s">
        <v>154</v>
      </c>
      <c r="U70" s="88"/>
      <c r="V70" s="88" t="s">
        <v>57</v>
      </c>
      <c r="W70" s="88"/>
      <c r="X70" s="92" t="s">
        <v>79</v>
      </c>
      <c r="Y70" s="88" t="s">
        <v>79</v>
      </c>
      <c r="Z70" s="88"/>
      <c r="AA70" s="92" t="s">
        <v>79</v>
      </c>
      <c r="AB70" s="88" t="s">
        <v>79</v>
      </c>
      <c r="AC70" s="93"/>
      <c r="AD70" s="147">
        <v>1</v>
      </c>
    </row>
    <row r="71" spans="1:30" s="8" customFormat="1" ht="75" hidden="1" customHeight="1" x14ac:dyDescent="0.4">
      <c r="A71" s="88">
        <v>70</v>
      </c>
      <c r="B71" s="88" t="s">
        <v>346</v>
      </c>
      <c r="C71" s="88" t="s">
        <v>368</v>
      </c>
      <c r="D71" s="92"/>
      <c r="E71" s="92" t="s">
        <v>369</v>
      </c>
      <c r="F71" s="88">
        <v>2026</v>
      </c>
      <c r="G71" s="88" t="s">
        <v>363</v>
      </c>
      <c r="H71" s="88" t="s">
        <v>37</v>
      </c>
      <c r="I71" s="88" t="s">
        <v>364</v>
      </c>
      <c r="J71" s="88" t="s">
        <v>35</v>
      </c>
      <c r="K71" s="88" t="s">
        <v>145</v>
      </c>
      <c r="L71" s="88" t="s">
        <v>365</v>
      </c>
      <c r="M71" s="88"/>
      <c r="N71" s="88"/>
      <c r="O71" s="88"/>
      <c r="P71" s="88"/>
      <c r="Q71" s="88"/>
      <c r="R71" s="88"/>
      <c r="S71" s="88"/>
      <c r="T71" s="88"/>
      <c r="U71" s="88"/>
      <c r="V71" s="88"/>
      <c r="W71" s="88"/>
      <c r="X71" s="92" t="s">
        <v>79</v>
      </c>
      <c r="Y71" s="88" t="s">
        <v>91</v>
      </c>
      <c r="Z71" s="88"/>
      <c r="AA71" s="92" t="s">
        <v>79</v>
      </c>
      <c r="AB71" s="88" t="s">
        <v>91</v>
      </c>
      <c r="AC71" s="93"/>
      <c r="AD71" s="147">
        <v>1</v>
      </c>
    </row>
    <row r="72" spans="1:30" s="8" customFormat="1" ht="150" hidden="1" customHeight="1" x14ac:dyDescent="0.4">
      <c r="A72" s="88">
        <v>71</v>
      </c>
      <c r="B72" s="88" t="s">
        <v>346</v>
      </c>
      <c r="C72" s="88" t="s">
        <v>370</v>
      </c>
      <c r="D72" s="92"/>
      <c r="E72" s="92" t="s">
        <v>97</v>
      </c>
      <c r="F72" s="88">
        <v>2026</v>
      </c>
      <c r="G72" s="88" t="s">
        <v>371</v>
      </c>
      <c r="H72" s="88" t="s">
        <v>35</v>
      </c>
      <c r="I72" s="88" t="s">
        <v>364</v>
      </c>
      <c r="J72" s="88" t="s">
        <v>35</v>
      </c>
      <c r="K72" s="88" t="s">
        <v>145</v>
      </c>
      <c r="L72" s="88" t="s">
        <v>372</v>
      </c>
      <c r="M72" s="95" t="s">
        <v>241</v>
      </c>
      <c r="N72" s="88" t="s">
        <v>373</v>
      </c>
      <c r="O72" s="94"/>
      <c r="P72" s="94"/>
      <c r="Q72" s="94"/>
      <c r="R72" s="94"/>
      <c r="S72" s="88" t="s">
        <v>374</v>
      </c>
      <c r="T72" s="88">
        <v>266</v>
      </c>
      <c r="U72" s="88"/>
      <c r="V72" s="88"/>
      <c r="W72" s="88"/>
      <c r="X72" s="92" t="s">
        <v>185</v>
      </c>
      <c r="Y72" s="88" t="s">
        <v>43</v>
      </c>
      <c r="Z72" s="88"/>
      <c r="AA72" s="92" t="s">
        <v>185</v>
      </c>
      <c r="AB72" s="88" t="s">
        <v>43</v>
      </c>
      <c r="AC72" s="93"/>
      <c r="AD72" s="147">
        <v>1</v>
      </c>
    </row>
    <row r="73" spans="1:30" s="8" customFormat="1" ht="60" hidden="1" customHeight="1" x14ac:dyDescent="0.4">
      <c r="A73" s="88">
        <v>72</v>
      </c>
      <c r="B73" s="88" t="s">
        <v>346</v>
      </c>
      <c r="C73" s="88" t="s">
        <v>375</v>
      </c>
      <c r="D73" s="92" t="s">
        <v>376</v>
      </c>
      <c r="E73" s="92" t="s">
        <v>377</v>
      </c>
      <c r="F73" s="88" t="s">
        <v>378</v>
      </c>
      <c r="G73" s="88" t="s">
        <v>379</v>
      </c>
      <c r="H73" s="88" t="s">
        <v>35</v>
      </c>
      <c r="I73" s="88" t="s">
        <v>380</v>
      </c>
      <c r="J73" s="88" t="s">
        <v>35</v>
      </c>
      <c r="K73" s="88" t="s">
        <v>145</v>
      </c>
      <c r="L73" s="88" t="s">
        <v>83</v>
      </c>
      <c r="M73" s="88"/>
      <c r="N73" s="88"/>
      <c r="O73" s="88"/>
      <c r="P73" s="88"/>
      <c r="Q73" s="97" t="s">
        <v>374</v>
      </c>
      <c r="R73" s="88"/>
      <c r="S73" s="88" t="s">
        <v>381</v>
      </c>
      <c r="T73" s="88"/>
      <c r="U73" s="88"/>
      <c r="V73" s="88"/>
      <c r="W73" s="88"/>
      <c r="X73" s="92" t="s">
        <v>43</v>
      </c>
      <c r="Y73" s="88" t="s">
        <v>43</v>
      </c>
      <c r="Z73" s="88"/>
      <c r="AA73" s="92" t="s">
        <v>43</v>
      </c>
      <c r="AB73" s="88" t="s">
        <v>43</v>
      </c>
      <c r="AC73" s="93"/>
      <c r="AD73" s="147">
        <v>1</v>
      </c>
    </row>
    <row r="74" spans="1:30" s="8" customFormat="1" ht="118.5" hidden="1" customHeight="1" x14ac:dyDescent="0.4">
      <c r="A74" s="88">
        <v>73</v>
      </c>
      <c r="B74" s="88" t="s">
        <v>346</v>
      </c>
      <c r="C74" s="88" t="s">
        <v>382</v>
      </c>
      <c r="D74" s="92" t="s">
        <v>383</v>
      </c>
      <c r="E74" s="92"/>
      <c r="F74" s="88" t="s">
        <v>378</v>
      </c>
      <c r="G74" s="88" t="s">
        <v>384</v>
      </c>
      <c r="H74" s="88" t="s">
        <v>35</v>
      </c>
      <c r="I74" s="88" t="s">
        <v>385</v>
      </c>
      <c r="J74" s="88" t="s">
        <v>37</v>
      </c>
      <c r="K74" s="88" t="s">
        <v>145</v>
      </c>
      <c r="L74" s="88" t="s">
        <v>83</v>
      </c>
      <c r="M74" s="88"/>
      <c r="N74" s="88"/>
      <c r="O74" s="88"/>
      <c r="P74" s="88"/>
      <c r="Q74" s="97"/>
      <c r="R74" s="88"/>
      <c r="S74" s="88" t="s">
        <v>98</v>
      </c>
      <c r="T74" s="88"/>
      <c r="U74" s="88"/>
      <c r="V74" s="88"/>
      <c r="W74" s="88"/>
      <c r="X74" s="92" t="s">
        <v>185</v>
      </c>
      <c r="Y74" s="88" t="s">
        <v>42</v>
      </c>
      <c r="Z74" s="88"/>
      <c r="AA74" s="92" t="s">
        <v>185</v>
      </c>
      <c r="AB74" s="88" t="s">
        <v>42</v>
      </c>
      <c r="AC74" s="93"/>
      <c r="AD74" s="147">
        <v>1</v>
      </c>
    </row>
    <row r="75" spans="1:30" s="8" customFormat="1" ht="60" hidden="1" customHeight="1" x14ac:dyDescent="0.4">
      <c r="A75" s="88">
        <v>74</v>
      </c>
      <c r="B75" s="88" t="s">
        <v>346</v>
      </c>
      <c r="C75" s="88" t="s">
        <v>386</v>
      </c>
      <c r="D75" s="92"/>
      <c r="E75" s="92" t="s">
        <v>387</v>
      </c>
      <c r="F75" s="88" t="s">
        <v>378</v>
      </c>
      <c r="G75" s="88" t="s">
        <v>384</v>
      </c>
      <c r="H75" s="88" t="s">
        <v>35</v>
      </c>
      <c r="I75" s="88" t="s">
        <v>385</v>
      </c>
      <c r="J75" s="88" t="s">
        <v>37</v>
      </c>
      <c r="K75" s="88" t="s">
        <v>38</v>
      </c>
      <c r="L75" s="88" t="s">
        <v>83</v>
      </c>
      <c r="M75" s="88"/>
      <c r="N75" s="88"/>
      <c r="O75" s="88"/>
      <c r="P75" s="88"/>
      <c r="Q75" s="97" t="s">
        <v>98</v>
      </c>
      <c r="R75" s="88"/>
      <c r="S75" s="88" t="s">
        <v>98</v>
      </c>
      <c r="T75" s="88"/>
      <c r="U75" s="88"/>
      <c r="V75" s="88"/>
      <c r="W75" s="88"/>
      <c r="X75" s="92" t="s">
        <v>43</v>
      </c>
      <c r="Y75" s="88" t="s">
        <v>43</v>
      </c>
      <c r="Z75" s="88"/>
      <c r="AA75" s="92" t="s">
        <v>43</v>
      </c>
      <c r="AB75" s="88" t="s">
        <v>43</v>
      </c>
      <c r="AC75" s="93"/>
      <c r="AD75" s="147">
        <v>1</v>
      </c>
    </row>
    <row r="76" spans="1:30" s="8" customFormat="1" ht="75" hidden="1" customHeight="1" x14ac:dyDescent="0.4">
      <c r="A76" s="88">
        <v>75</v>
      </c>
      <c r="B76" s="88" t="s">
        <v>346</v>
      </c>
      <c r="C76" s="88" t="s">
        <v>388</v>
      </c>
      <c r="D76" s="92" t="s">
        <v>389</v>
      </c>
      <c r="E76" s="92" t="s">
        <v>390</v>
      </c>
      <c r="F76" s="88" t="s">
        <v>362</v>
      </c>
      <c r="G76" s="88" t="s">
        <v>391</v>
      </c>
      <c r="H76" s="88" t="s">
        <v>35</v>
      </c>
      <c r="I76" s="88" t="s">
        <v>392</v>
      </c>
      <c r="J76" s="88" t="s">
        <v>35</v>
      </c>
      <c r="K76" s="88" t="s">
        <v>145</v>
      </c>
      <c r="L76" s="88" t="s">
        <v>372</v>
      </c>
      <c r="M76" s="88" t="s">
        <v>172</v>
      </c>
      <c r="N76" s="94"/>
      <c r="O76" s="94"/>
      <c r="P76" s="94"/>
      <c r="Q76" s="94"/>
      <c r="R76" s="94"/>
      <c r="S76" s="88" t="s">
        <v>98</v>
      </c>
      <c r="T76" s="88">
        <v>25</v>
      </c>
      <c r="U76" s="111"/>
      <c r="V76" s="88"/>
      <c r="W76" s="88"/>
      <c r="X76" s="92" t="s">
        <v>185</v>
      </c>
      <c r="Y76" s="88" t="s">
        <v>42</v>
      </c>
      <c r="Z76" s="88"/>
      <c r="AA76" s="92" t="s">
        <v>185</v>
      </c>
      <c r="AB76" s="88" t="s">
        <v>42</v>
      </c>
      <c r="AC76" s="93"/>
      <c r="AD76" s="147">
        <v>1</v>
      </c>
    </row>
    <row r="77" spans="1:30" s="8" customFormat="1" ht="67.5" hidden="1" customHeight="1" x14ac:dyDescent="0.4">
      <c r="A77" s="88">
        <v>76</v>
      </c>
      <c r="B77" s="88" t="s">
        <v>346</v>
      </c>
      <c r="C77" s="88" t="s">
        <v>393</v>
      </c>
      <c r="D77" s="92" t="s">
        <v>394</v>
      </c>
      <c r="E77" s="92" t="s">
        <v>395</v>
      </c>
      <c r="F77" s="88">
        <v>2026</v>
      </c>
      <c r="G77" s="88" t="s">
        <v>396</v>
      </c>
      <c r="H77" s="88" t="s">
        <v>35</v>
      </c>
      <c r="I77" s="88" t="s">
        <v>397</v>
      </c>
      <c r="J77" s="88" t="s">
        <v>37</v>
      </c>
      <c r="K77" s="88" t="s">
        <v>145</v>
      </c>
      <c r="L77" s="88" t="s">
        <v>372</v>
      </c>
      <c r="M77" s="88" t="s">
        <v>251</v>
      </c>
      <c r="N77" s="94"/>
      <c r="O77" s="94"/>
      <c r="P77" s="94"/>
      <c r="Q77" s="94"/>
      <c r="R77" s="94"/>
      <c r="S77" s="88" t="s">
        <v>98</v>
      </c>
      <c r="T77" s="88">
        <v>13</v>
      </c>
      <c r="U77" s="111"/>
      <c r="V77" s="95"/>
      <c r="W77" s="95"/>
      <c r="X77" s="92" t="s">
        <v>91</v>
      </c>
      <c r="Y77" s="88" t="s">
        <v>43</v>
      </c>
      <c r="Z77" s="88"/>
      <c r="AA77" s="92" t="s">
        <v>91</v>
      </c>
      <c r="AB77" s="88" t="s">
        <v>43</v>
      </c>
      <c r="AC77" s="93"/>
      <c r="AD77" s="147">
        <v>1</v>
      </c>
    </row>
    <row r="78" spans="1:30" s="8" customFormat="1" ht="84.75" hidden="1" customHeight="1" x14ac:dyDescent="0.4">
      <c r="A78" s="88">
        <v>77</v>
      </c>
      <c r="B78" s="88" t="s">
        <v>398</v>
      </c>
      <c r="C78" s="102" t="s">
        <v>399</v>
      </c>
      <c r="D78" s="92" t="s">
        <v>400</v>
      </c>
      <c r="E78" s="92" t="s">
        <v>401</v>
      </c>
      <c r="F78" s="88" t="s">
        <v>402</v>
      </c>
      <c r="G78" s="88" t="s">
        <v>403</v>
      </c>
      <c r="H78" s="88" t="s">
        <v>37</v>
      </c>
      <c r="I78" s="88" t="s">
        <v>213</v>
      </c>
      <c r="J78" s="88" t="s">
        <v>35</v>
      </c>
      <c r="K78" s="88" t="s">
        <v>145</v>
      </c>
      <c r="L78" s="88" t="s">
        <v>269</v>
      </c>
      <c r="M78" s="88" t="s">
        <v>404</v>
      </c>
      <c r="N78" s="88" t="s">
        <v>405</v>
      </c>
      <c r="O78" s="88" t="s">
        <v>271</v>
      </c>
      <c r="P78" s="88"/>
      <c r="Q78" s="88"/>
      <c r="R78" s="88" t="s">
        <v>153</v>
      </c>
      <c r="S78" s="88"/>
      <c r="T78" s="88" t="s">
        <v>154</v>
      </c>
      <c r="U78" s="88"/>
      <c r="V78" s="88"/>
      <c r="W78" s="88"/>
      <c r="X78" s="92" t="s">
        <v>79</v>
      </c>
      <c r="Y78" s="88" t="s">
        <v>185</v>
      </c>
      <c r="Z78" s="88"/>
      <c r="AA78" s="92" t="s">
        <v>79</v>
      </c>
      <c r="AB78" s="88" t="s">
        <v>185</v>
      </c>
      <c r="AC78" s="93"/>
      <c r="AD78" s="147">
        <v>1</v>
      </c>
    </row>
    <row r="79" spans="1:30" s="8" customFormat="1" ht="104.25" hidden="1" customHeight="1" x14ac:dyDescent="0.4">
      <c r="A79" s="88">
        <v>78</v>
      </c>
      <c r="B79" s="88" t="s">
        <v>398</v>
      </c>
      <c r="C79" s="102" t="s">
        <v>406</v>
      </c>
      <c r="D79" s="92"/>
      <c r="E79" s="92" t="s">
        <v>407</v>
      </c>
      <c r="F79" s="88" t="s">
        <v>402</v>
      </c>
      <c r="G79" s="88" t="s">
        <v>403</v>
      </c>
      <c r="H79" s="88" t="s">
        <v>37</v>
      </c>
      <c r="I79" s="88" t="s">
        <v>213</v>
      </c>
      <c r="J79" s="88" t="s">
        <v>35</v>
      </c>
      <c r="K79" s="88" t="s">
        <v>145</v>
      </c>
      <c r="L79" s="88" t="s">
        <v>269</v>
      </c>
      <c r="M79" s="88" t="s">
        <v>366</v>
      </c>
      <c r="N79" s="88" t="s">
        <v>408</v>
      </c>
      <c r="O79" s="88" t="s">
        <v>271</v>
      </c>
      <c r="P79" s="88"/>
      <c r="Q79" s="88"/>
      <c r="R79" s="88" t="s">
        <v>61</v>
      </c>
      <c r="S79" s="88"/>
      <c r="T79" s="88" t="s">
        <v>59</v>
      </c>
      <c r="U79" s="88"/>
      <c r="V79" s="88"/>
      <c r="W79" s="88"/>
      <c r="X79" s="92" t="s">
        <v>79</v>
      </c>
      <c r="Y79" s="88" t="s">
        <v>79</v>
      </c>
      <c r="Z79" s="88"/>
      <c r="AA79" s="92" t="s">
        <v>79</v>
      </c>
      <c r="AB79" s="88" t="s">
        <v>79</v>
      </c>
      <c r="AC79" s="93"/>
      <c r="AD79" s="147">
        <v>1</v>
      </c>
    </row>
    <row r="80" spans="1:30" s="8" customFormat="1" ht="120" hidden="1" customHeight="1" x14ac:dyDescent="0.4">
      <c r="A80" s="88">
        <v>79</v>
      </c>
      <c r="B80" s="88" t="s">
        <v>398</v>
      </c>
      <c r="C80" s="102" t="s">
        <v>409</v>
      </c>
      <c r="D80" s="92"/>
      <c r="E80" s="92" t="s">
        <v>410</v>
      </c>
      <c r="F80" s="88" t="s">
        <v>402</v>
      </c>
      <c r="G80" s="88" t="s">
        <v>403</v>
      </c>
      <c r="H80" s="88" t="s">
        <v>37</v>
      </c>
      <c r="I80" s="88" t="s">
        <v>213</v>
      </c>
      <c r="J80" s="88" t="s">
        <v>35</v>
      </c>
      <c r="K80" s="88" t="s">
        <v>145</v>
      </c>
      <c r="L80" s="88" t="s">
        <v>269</v>
      </c>
      <c r="M80" s="88" t="s">
        <v>48</v>
      </c>
      <c r="N80" s="88" t="s">
        <v>411</v>
      </c>
      <c r="O80" s="88" t="s">
        <v>271</v>
      </c>
      <c r="P80" s="88"/>
      <c r="Q80" s="88"/>
      <c r="R80" s="88" t="s">
        <v>153</v>
      </c>
      <c r="S80" s="88"/>
      <c r="T80" s="88" t="s">
        <v>154</v>
      </c>
      <c r="U80" s="88"/>
      <c r="V80" s="88"/>
      <c r="W80" s="88"/>
      <c r="X80" s="92" t="s">
        <v>185</v>
      </c>
      <c r="Y80" s="88" t="s">
        <v>79</v>
      </c>
      <c r="Z80" s="88"/>
      <c r="AA80" s="92" t="s">
        <v>185</v>
      </c>
      <c r="AB80" s="88" t="s">
        <v>79</v>
      </c>
      <c r="AC80" s="93"/>
      <c r="AD80" s="147">
        <v>1</v>
      </c>
    </row>
    <row r="81" spans="1:30" s="8" customFormat="1" ht="90" hidden="1" customHeight="1" x14ac:dyDescent="0.4">
      <c r="A81" s="88">
        <v>80</v>
      </c>
      <c r="B81" s="112" t="s">
        <v>412</v>
      </c>
      <c r="C81" s="95" t="s">
        <v>413</v>
      </c>
      <c r="D81" s="92" t="s">
        <v>163</v>
      </c>
      <c r="E81" s="92"/>
      <c r="F81" s="88" t="s">
        <v>164</v>
      </c>
      <c r="G81" s="88" t="s">
        <v>34</v>
      </c>
      <c r="H81" s="88" t="s">
        <v>35</v>
      </c>
      <c r="I81" s="88" t="s">
        <v>213</v>
      </c>
      <c r="J81" s="88" t="s">
        <v>35</v>
      </c>
      <c r="K81" s="88" t="s">
        <v>145</v>
      </c>
      <c r="L81" s="95" t="s">
        <v>53</v>
      </c>
      <c r="M81" s="88" t="s">
        <v>54</v>
      </c>
      <c r="N81" s="88" t="s">
        <v>55</v>
      </c>
      <c r="O81" s="88" t="s">
        <v>414</v>
      </c>
      <c r="P81" s="88" t="s">
        <v>57</v>
      </c>
      <c r="Q81" s="92" t="s">
        <v>415</v>
      </c>
      <c r="R81" s="88" t="s">
        <v>59</v>
      </c>
      <c r="S81" s="88" t="s">
        <v>416</v>
      </c>
      <c r="T81" s="88" t="s">
        <v>61</v>
      </c>
      <c r="U81" s="88"/>
      <c r="V81" s="88" t="s">
        <v>62</v>
      </c>
      <c r="W81" s="88"/>
      <c r="X81" s="92" t="s">
        <v>43</v>
      </c>
      <c r="Y81" s="88" t="s">
        <v>43</v>
      </c>
      <c r="Z81" s="88"/>
      <c r="AA81" s="92" t="s">
        <v>43</v>
      </c>
      <c r="AB81" s="88" t="s">
        <v>43</v>
      </c>
      <c r="AC81" s="93"/>
      <c r="AD81" s="147">
        <v>1</v>
      </c>
    </row>
    <row r="82" spans="1:30" s="8" customFormat="1" ht="75" hidden="1" customHeight="1" x14ac:dyDescent="0.4">
      <c r="A82" s="88">
        <v>81</v>
      </c>
      <c r="B82" s="112" t="s">
        <v>412</v>
      </c>
      <c r="C82" s="95" t="s">
        <v>417</v>
      </c>
      <c r="D82" s="92" t="s">
        <v>418</v>
      </c>
      <c r="E82" s="92"/>
      <c r="F82" s="88" t="s">
        <v>164</v>
      </c>
      <c r="G82" s="88" t="s">
        <v>34</v>
      </c>
      <c r="H82" s="88" t="s">
        <v>35</v>
      </c>
      <c r="I82" s="88" t="s">
        <v>213</v>
      </c>
      <c r="J82" s="88" t="s">
        <v>35</v>
      </c>
      <c r="K82" s="88" t="s">
        <v>38</v>
      </c>
      <c r="L82" s="95" t="s">
        <v>78</v>
      </c>
      <c r="M82" s="95"/>
      <c r="N82" s="95"/>
      <c r="O82" s="95"/>
      <c r="P82" s="95"/>
      <c r="Q82" s="101">
        <v>5</v>
      </c>
      <c r="R82" s="95"/>
      <c r="S82" s="95"/>
      <c r="T82" s="88"/>
      <c r="U82" s="88"/>
      <c r="V82" s="88"/>
      <c r="W82" s="88"/>
      <c r="X82" s="92" t="s">
        <v>43</v>
      </c>
      <c r="Y82" s="88" t="s">
        <v>79</v>
      </c>
      <c r="Z82" s="88"/>
      <c r="AA82" s="92" t="s">
        <v>43</v>
      </c>
      <c r="AB82" s="88" t="s">
        <v>79</v>
      </c>
      <c r="AC82" s="93"/>
      <c r="AD82" s="147">
        <v>1</v>
      </c>
    </row>
    <row r="83" spans="1:30" s="8" customFormat="1" ht="240" hidden="1" customHeight="1" x14ac:dyDescent="0.4">
      <c r="A83" s="88">
        <v>82</v>
      </c>
      <c r="B83" s="112" t="s">
        <v>412</v>
      </c>
      <c r="C83" s="95" t="s">
        <v>419</v>
      </c>
      <c r="D83" s="92" t="s">
        <v>420</v>
      </c>
      <c r="E83" s="92"/>
      <c r="F83" s="88" t="s">
        <v>164</v>
      </c>
      <c r="G83" s="88" t="s">
        <v>34</v>
      </c>
      <c r="H83" s="88" t="s">
        <v>35</v>
      </c>
      <c r="I83" s="88" t="s">
        <v>213</v>
      </c>
      <c r="J83" s="88" t="s">
        <v>35</v>
      </c>
      <c r="K83" s="88" t="s">
        <v>145</v>
      </c>
      <c r="L83" s="95" t="s">
        <v>78</v>
      </c>
      <c r="M83" s="95" t="s">
        <v>150</v>
      </c>
      <c r="N83" s="95">
        <v>441</v>
      </c>
      <c r="O83" s="95"/>
      <c r="P83" s="95">
        <v>100</v>
      </c>
      <c r="Q83" s="101">
        <v>179</v>
      </c>
      <c r="R83" s="95">
        <v>100</v>
      </c>
      <c r="S83" s="95"/>
      <c r="T83" s="88">
        <v>100</v>
      </c>
      <c r="U83" s="88"/>
      <c r="V83" s="88">
        <v>100</v>
      </c>
      <c r="W83" s="88"/>
      <c r="X83" s="92" t="s">
        <v>43</v>
      </c>
      <c r="Y83" s="88" t="s">
        <v>79</v>
      </c>
      <c r="Z83" s="88"/>
      <c r="AA83" s="92" t="s">
        <v>43</v>
      </c>
      <c r="AB83" s="88" t="s">
        <v>79</v>
      </c>
      <c r="AC83" s="93"/>
      <c r="AD83" s="147">
        <v>1</v>
      </c>
    </row>
    <row r="84" spans="1:30" s="8" customFormat="1" ht="255" hidden="1" customHeight="1" x14ac:dyDescent="0.4">
      <c r="A84" s="88">
        <v>83</v>
      </c>
      <c r="B84" s="88" t="s">
        <v>421</v>
      </c>
      <c r="C84" s="88" t="s">
        <v>422</v>
      </c>
      <c r="D84" s="92" t="s">
        <v>423</v>
      </c>
      <c r="E84" s="92"/>
      <c r="F84" s="88" t="s">
        <v>164</v>
      </c>
      <c r="G84" s="88" t="s">
        <v>34</v>
      </c>
      <c r="H84" s="88" t="s">
        <v>35</v>
      </c>
      <c r="I84" s="88" t="s">
        <v>213</v>
      </c>
      <c r="J84" s="88" t="s">
        <v>35</v>
      </c>
      <c r="K84" s="88" t="s">
        <v>145</v>
      </c>
      <c r="L84" s="88" t="s">
        <v>424</v>
      </c>
      <c r="M84" s="88">
        <v>115</v>
      </c>
      <c r="N84" s="88" t="s">
        <v>352</v>
      </c>
      <c r="O84" s="111" t="s">
        <v>425</v>
      </c>
      <c r="P84" s="88">
        <v>74</v>
      </c>
      <c r="Q84" s="88">
        <v>1</v>
      </c>
      <c r="R84" s="88">
        <v>115</v>
      </c>
      <c r="S84" s="88"/>
      <c r="T84" s="88">
        <v>70</v>
      </c>
      <c r="U84" s="88"/>
      <c r="V84" s="88">
        <v>107</v>
      </c>
      <c r="W84" s="88"/>
      <c r="X84" s="92" t="s">
        <v>43</v>
      </c>
      <c r="Y84" s="88" t="s">
        <v>91</v>
      </c>
      <c r="Z84" s="88"/>
      <c r="AA84" s="92" t="s">
        <v>43</v>
      </c>
      <c r="AB84" s="88" t="s">
        <v>91</v>
      </c>
      <c r="AC84" s="93"/>
      <c r="AD84" s="147">
        <v>1</v>
      </c>
    </row>
    <row r="85" spans="1:30" s="8" customFormat="1" ht="101.25" hidden="1" customHeight="1" x14ac:dyDescent="0.4">
      <c r="A85" s="88">
        <v>84</v>
      </c>
      <c r="B85" s="88" t="s">
        <v>426</v>
      </c>
      <c r="C85" s="88" t="s">
        <v>427</v>
      </c>
      <c r="D85" s="92" t="s">
        <v>428</v>
      </c>
      <c r="E85" s="92"/>
      <c r="F85" s="88" t="s">
        <v>164</v>
      </c>
      <c r="G85" s="88" t="s">
        <v>34</v>
      </c>
      <c r="H85" s="88" t="s">
        <v>35</v>
      </c>
      <c r="I85" s="88" t="s">
        <v>213</v>
      </c>
      <c r="J85" s="88" t="s">
        <v>35</v>
      </c>
      <c r="K85" s="88" t="s">
        <v>145</v>
      </c>
      <c r="L85" s="88" t="s">
        <v>372</v>
      </c>
      <c r="M85" s="88" t="s">
        <v>40</v>
      </c>
      <c r="N85" s="94"/>
      <c r="O85" s="94"/>
      <c r="P85" s="94"/>
      <c r="Q85" s="94"/>
      <c r="R85" s="94"/>
      <c r="S85" s="88" t="s">
        <v>98</v>
      </c>
      <c r="T85" s="88">
        <v>2158</v>
      </c>
      <c r="U85" s="88"/>
      <c r="V85" s="88"/>
      <c r="W85" s="88"/>
      <c r="X85" s="92" t="s">
        <v>75</v>
      </c>
      <c r="Y85" s="88" t="s">
        <v>42</v>
      </c>
      <c r="Z85" s="88"/>
      <c r="AA85" s="92" t="s">
        <v>75</v>
      </c>
      <c r="AB85" s="88" t="s">
        <v>42</v>
      </c>
      <c r="AC85" s="93"/>
      <c r="AD85" s="147">
        <v>1</v>
      </c>
    </row>
    <row r="86" spans="1:30" ht="270" customHeight="1" x14ac:dyDescent="0.3">
      <c r="A86" s="88">
        <v>85</v>
      </c>
      <c r="B86" s="113" t="s">
        <v>429</v>
      </c>
      <c r="C86" s="111">
        <v>2</v>
      </c>
      <c r="D86" s="113" t="s">
        <v>430</v>
      </c>
      <c r="E86" s="113"/>
      <c r="F86" s="114">
        <v>43506</v>
      </c>
      <c r="G86" s="111" t="s">
        <v>34</v>
      </c>
      <c r="H86" s="88" t="s">
        <v>35</v>
      </c>
      <c r="I86" s="95" t="s">
        <v>431</v>
      </c>
      <c r="J86" s="88" t="s">
        <v>35</v>
      </c>
      <c r="K86" s="88" t="s">
        <v>38</v>
      </c>
      <c r="L86" s="95" t="s">
        <v>432</v>
      </c>
      <c r="M86" s="95" t="s">
        <v>251</v>
      </c>
      <c r="N86" s="95" t="s">
        <v>433</v>
      </c>
      <c r="O86" s="88" t="s">
        <v>271</v>
      </c>
      <c r="P86" s="95"/>
      <c r="Q86" s="95"/>
      <c r="R86" s="95"/>
      <c r="S86" s="95"/>
      <c r="T86" s="88" t="s">
        <v>62</v>
      </c>
      <c r="U86" s="111"/>
      <c r="V86" s="95"/>
      <c r="W86" s="95"/>
      <c r="X86" s="92" t="s">
        <v>185</v>
      </c>
      <c r="Y86" s="88" t="s">
        <v>42</v>
      </c>
      <c r="Z86" s="88"/>
      <c r="AA86" s="92" t="s">
        <v>185</v>
      </c>
      <c r="AB86" s="88" t="s">
        <v>42</v>
      </c>
      <c r="AC86" s="93"/>
      <c r="AD86" s="147">
        <v>1</v>
      </c>
    </row>
    <row r="87" spans="1:30" ht="270" customHeight="1" x14ac:dyDescent="0.3">
      <c r="A87" s="88">
        <v>86</v>
      </c>
      <c r="B87" s="113" t="s">
        <v>429</v>
      </c>
      <c r="C87" s="111">
        <v>3</v>
      </c>
      <c r="D87" s="113" t="s">
        <v>434</v>
      </c>
      <c r="E87" s="113"/>
      <c r="F87" s="95" t="s">
        <v>164</v>
      </c>
      <c r="G87" s="111" t="s">
        <v>34</v>
      </c>
      <c r="H87" s="88" t="s">
        <v>35</v>
      </c>
      <c r="I87" s="95" t="s">
        <v>435</v>
      </c>
      <c r="J87" s="88" t="s">
        <v>35</v>
      </c>
      <c r="K87" s="88" t="s">
        <v>38</v>
      </c>
      <c r="L87" s="95" t="s">
        <v>432</v>
      </c>
      <c r="M87" s="95"/>
      <c r="N87" s="95"/>
      <c r="O87" s="95"/>
      <c r="P87" s="95"/>
      <c r="Q87" s="95"/>
      <c r="R87" s="95"/>
      <c r="S87" s="95"/>
      <c r="T87" s="95"/>
      <c r="U87" s="95"/>
      <c r="V87" s="95"/>
      <c r="W87" s="95"/>
      <c r="X87" s="92" t="s">
        <v>79</v>
      </c>
      <c r="Y87" s="88" t="s">
        <v>79</v>
      </c>
      <c r="Z87" s="88"/>
      <c r="AA87" s="92" t="s">
        <v>79</v>
      </c>
      <c r="AB87" s="88" t="s">
        <v>79</v>
      </c>
      <c r="AC87" s="93"/>
      <c r="AD87" s="147">
        <v>1</v>
      </c>
    </row>
    <row r="88" spans="1:30" s="8" customFormat="1" ht="108" hidden="1" customHeight="1" x14ac:dyDescent="0.4">
      <c r="A88" s="88">
        <v>87</v>
      </c>
      <c r="B88" s="113" t="s">
        <v>436</v>
      </c>
      <c r="C88" s="111" t="s">
        <v>437</v>
      </c>
      <c r="D88" s="113" t="s">
        <v>438</v>
      </c>
      <c r="E88" s="113"/>
      <c r="F88" s="110" t="s">
        <v>439</v>
      </c>
      <c r="G88" s="111" t="s">
        <v>34</v>
      </c>
      <c r="H88" s="88" t="s">
        <v>35</v>
      </c>
      <c r="I88" s="88" t="s">
        <v>213</v>
      </c>
      <c r="J88" s="88" t="s">
        <v>35</v>
      </c>
      <c r="K88" s="88" t="s">
        <v>145</v>
      </c>
      <c r="L88" s="111" t="s">
        <v>440</v>
      </c>
      <c r="M88" s="111"/>
      <c r="N88" s="95" t="s">
        <v>352</v>
      </c>
      <c r="O88" s="111"/>
      <c r="P88" s="111"/>
      <c r="Q88" s="111"/>
      <c r="R88" s="111"/>
      <c r="S88" s="111" t="s">
        <v>441</v>
      </c>
      <c r="T88" s="95"/>
      <c r="U88" s="95"/>
      <c r="V88" s="95"/>
      <c r="W88" s="95"/>
      <c r="X88" s="92" t="s">
        <v>79</v>
      </c>
      <c r="Y88" s="88" t="s">
        <v>91</v>
      </c>
      <c r="Z88" s="88"/>
      <c r="AA88" s="92" t="s">
        <v>79</v>
      </c>
      <c r="AB88" s="88" t="s">
        <v>91</v>
      </c>
      <c r="AC88" s="93"/>
      <c r="AD88" s="147">
        <v>1</v>
      </c>
    </row>
    <row r="89" spans="1:30" ht="72" hidden="1" customHeight="1" x14ac:dyDescent="0.3">
      <c r="A89" s="88">
        <v>88</v>
      </c>
      <c r="B89" s="95" t="s">
        <v>442</v>
      </c>
      <c r="C89" s="111" t="s">
        <v>443</v>
      </c>
      <c r="D89" s="113" t="s">
        <v>125</v>
      </c>
      <c r="E89" s="115" t="s">
        <v>444</v>
      </c>
      <c r="F89" s="95"/>
      <c r="G89" s="111"/>
      <c r="H89" s="88" t="s">
        <v>35</v>
      </c>
      <c r="I89" s="111"/>
      <c r="J89" s="88" t="s">
        <v>37</v>
      </c>
      <c r="K89" s="88" t="s">
        <v>38</v>
      </c>
      <c r="L89" s="111"/>
      <c r="M89" s="111"/>
      <c r="N89" s="111"/>
      <c r="O89" s="111"/>
      <c r="P89" s="111"/>
      <c r="Q89" s="111"/>
      <c r="R89" s="111"/>
      <c r="S89" s="111"/>
      <c r="T89" s="111"/>
      <c r="U89" s="111"/>
      <c r="V89" s="111"/>
      <c r="W89" s="111"/>
      <c r="X89" s="92" t="s">
        <v>185</v>
      </c>
      <c r="Y89" s="88" t="s">
        <v>79</v>
      </c>
      <c r="Z89" s="88"/>
      <c r="AA89" s="92" t="s">
        <v>185</v>
      </c>
      <c r="AB89" s="88" t="s">
        <v>79</v>
      </c>
      <c r="AC89" s="93"/>
      <c r="AD89" s="147">
        <v>1</v>
      </c>
    </row>
    <row r="90" spans="1:30" ht="72" hidden="1" customHeight="1" x14ac:dyDescent="0.3">
      <c r="A90" s="88">
        <v>89</v>
      </c>
      <c r="B90" s="95" t="s">
        <v>442</v>
      </c>
      <c r="C90" s="111" t="s">
        <v>445</v>
      </c>
      <c r="D90" s="113" t="s">
        <v>125</v>
      </c>
      <c r="E90" s="113" t="s">
        <v>446</v>
      </c>
      <c r="F90" s="95" t="s">
        <v>447</v>
      </c>
      <c r="G90" s="111" t="s">
        <v>448</v>
      </c>
      <c r="H90" s="88" t="s">
        <v>35</v>
      </c>
      <c r="I90" s="95" t="s">
        <v>449</v>
      </c>
      <c r="J90" s="88" t="s">
        <v>37</v>
      </c>
      <c r="K90" s="88" t="s">
        <v>38</v>
      </c>
      <c r="L90" s="111" t="s">
        <v>372</v>
      </c>
      <c r="M90" s="111"/>
      <c r="N90" s="111"/>
      <c r="O90" s="111"/>
      <c r="P90" s="111"/>
      <c r="Q90" s="111"/>
      <c r="R90" s="111"/>
      <c r="S90" s="111"/>
      <c r="T90" s="111"/>
      <c r="U90" s="111"/>
      <c r="V90" s="111"/>
      <c r="W90" s="111"/>
      <c r="X90" s="92" t="s">
        <v>185</v>
      </c>
      <c r="Y90" s="88" t="s">
        <v>79</v>
      </c>
      <c r="Z90" s="88"/>
      <c r="AA90" s="92" t="s">
        <v>185</v>
      </c>
      <c r="AB90" s="88" t="s">
        <v>79</v>
      </c>
      <c r="AC90" s="93"/>
      <c r="AD90" s="147">
        <v>1</v>
      </c>
    </row>
    <row r="91" spans="1:30" ht="72" hidden="1" customHeight="1" x14ac:dyDescent="0.3">
      <c r="A91" s="88">
        <v>90</v>
      </c>
      <c r="B91" s="95" t="s">
        <v>442</v>
      </c>
      <c r="C91" s="111" t="s">
        <v>450</v>
      </c>
      <c r="D91" s="113" t="s">
        <v>125</v>
      </c>
      <c r="E91" s="113" t="s">
        <v>451</v>
      </c>
      <c r="F91" s="95"/>
      <c r="G91" s="111"/>
      <c r="H91" s="88" t="s">
        <v>37</v>
      </c>
      <c r="I91" s="111"/>
      <c r="J91" s="88" t="s">
        <v>37</v>
      </c>
      <c r="K91" s="88" t="s">
        <v>38</v>
      </c>
      <c r="L91" s="111"/>
      <c r="M91" s="111"/>
      <c r="N91" s="111"/>
      <c r="O91" s="111"/>
      <c r="P91" s="111"/>
      <c r="Q91" s="111"/>
      <c r="R91" s="111"/>
      <c r="S91" s="111"/>
      <c r="T91" s="111"/>
      <c r="U91" s="111"/>
      <c r="V91" s="111"/>
      <c r="W91" s="111"/>
      <c r="X91" s="92" t="s">
        <v>79</v>
      </c>
      <c r="Y91" s="88" t="s">
        <v>185</v>
      </c>
      <c r="Z91" s="88"/>
      <c r="AA91" s="92" t="s">
        <v>79</v>
      </c>
      <c r="AB91" s="88" t="s">
        <v>185</v>
      </c>
      <c r="AC91" s="93"/>
      <c r="AD91" s="147">
        <v>1</v>
      </c>
    </row>
    <row r="92" spans="1:30" ht="72" hidden="1" customHeight="1" x14ac:dyDescent="0.3">
      <c r="A92" s="88">
        <v>91</v>
      </c>
      <c r="B92" s="95" t="s">
        <v>442</v>
      </c>
      <c r="C92" s="111" t="s">
        <v>452</v>
      </c>
      <c r="D92" s="113" t="s">
        <v>453</v>
      </c>
      <c r="E92" s="113" t="s">
        <v>454</v>
      </c>
      <c r="F92" s="95">
        <v>2027</v>
      </c>
      <c r="G92" s="111" t="s">
        <v>448</v>
      </c>
      <c r="H92" s="88" t="s">
        <v>35</v>
      </c>
      <c r="I92" s="95" t="s">
        <v>455</v>
      </c>
      <c r="J92" s="88" t="s">
        <v>37</v>
      </c>
      <c r="K92" s="88" t="s">
        <v>38</v>
      </c>
      <c r="L92" s="111" t="s">
        <v>372</v>
      </c>
      <c r="M92" s="111"/>
      <c r="N92" s="111"/>
      <c r="O92" s="111"/>
      <c r="P92" s="111"/>
      <c r="Q92" s="111"/>
      <c r="R92" s="111"/>
      <c r="S92" s="111"/>
      <c r="T92" s="111"/>
      <c r="U92" s="111"/>
      <c r="V92" s="111"/>
      <c r="W92" s="111"/>
      <c r="X92" s="92" t="s">
        <v>79</v>
      </c>
      <c r="Y92" s="88" t="s">
        <v>79</v>
      </c>
      <c r="Z92" s="88"/>
      <c r="AA92" s="92" t="s">
        <v>79</v>
      </c>
      <c r="AB92" s="88" t="s">
        <v>79</v>
      </c>
      <c r="AC92" s="93"/>
      <c r="AD92" s="147">
        <v>1</v>
      </c>
    </row>
    <row r="93" spans="1:30" ht="127.5" hidden="1" customHeight="1" x14ac:dyDescent="0.3">
      <c r="A93" s="88">
        <v>92</v>
      </c>
      <c r="B93" s="95" t="s">
        <v>456</v>
      </c>
      <c r="C93" s="111" t="s">
        <v>437</v>
      </c>
      <c r="D93" s="113" t="s">
        <v>457</v>
      </c>
      <c r="E93" s="116" t="s">
        <v>281</v>
      </c>
      <c r="F93" s="95" t="s">
        <v>458</v>
      </c>
      <c r="G93" s="95" t="s">
        <v>459</v>
      </c>
      <c r="H93" s="88" t="s">
        <v>35</v>
      </c>
      <c r="I93" s="117" t="s">
        <v>460</v>
      </c>
      <c r="J93" s="88" t="s">
        <v>37</v>
      </c>
      <c r="K93" s="88" t="s">
        <v>38</v>
      </c>
      <c r="L93" s="95" t="s">
        <v>461</v>
      </c>
      <c r="M93" s="95"/>
      <c r="N93" s="95"/>
      <c r="O93" s="95"/>
      <c r="P93" s="95"/>
      <c r="Q93" s="95"/>
      <c r="R93" s="95"/>
      <c r="S93" s="95"/>
      <c r="T93" s="111"/>
      <c r="U93" s="111"/>
      <c r="V93" s="111"/>
      <c r="W93" s="111"/>
      <c r="X93" s="92" t="s">
        <v>79</v>
      </c>
      <c r="Y93" s="88" t="s">
        <v>79</v>
      </c>
      <c r="Z93" s="88"/>
      <c r="AA93" s="92" t="s">
        <v>79</v>
      </c>
      <c r="AB93" s="88" t="s">
        <v>79</v>
      </c>
      <c r="AC93" s="93"/>
      <c r="AD93" s="147">
        <v>1</v>
      </c>
    </row>
    <row r="94" spans="1:30" ht="112.5" hidden="1" customHeight="1" x14ac:dyDescent="0.3">
      <c r="A94" s="88">
        <v>93</v>
      </c>
      <c r="B94" s="95" t="s">
        <v>456</v>
      </c>
      <c r="C94" s="111" t="s">
        <v>462</v>
      </c>
      <c r="D94" s="113" t="s">
        <v>463</v>
      </c>
      <c r="E94" s="116" t="s">
        <v>464</v>
      </c>
      <c r="F94" s="95" t="s">
        <v>465</v>
      </c>
      <c r="G94" s="95" t="s">
        <v>466</v>
      </c>
      <c r="H94" s="88" t="s">
        <v>35</v>
      </c>
      <c r="I94" s="117" t="s">
        <v>467</v>
      </c>
      <c r="J94" s="88" t="s">
        <v>37</v>
      </c>
      <c r="K94" s="88" t="s">
        <v>38</v>
      </c>
      <c r="L94" s="95" t="s">
        <v>468</v>
      </c>
      <c r="M94" s="95"/>
      <c r="N94" s="95"/>
      <c r="O94" s="95"/>
      <c r="P94" s="95"/>
      <c r="Q94" s="95"/>
      <c r="R94" s="95"/>
      <c r="S94" s="95"/>
      <c r="T94" s="111"/>
      <c r="U94" s="111"/>
      <c r="V94" s="95"/>
      <c r="W94" s="95"/>
      <c r="X94" s="92" t="s">
        <v>79</v>
      </c>
      <c r="Y94" s="88" t="s">
        <v>79</v>
      </c>
      <c r="Z94" s="88"/>
      <c r="AA94" s="92" t="s">
        <v>79</v>
      </c>
      <c r="AB94" s="88" t="s">
        <v>79</v>
      </c>
      <c r="AC94" s="93"/>
      <c r="AD94" s="147">
        <v>1</v>
      </c>
    </row>
    <row r="95" spans="1:30" ht="127.5" hidden="1" customHeight="1" x14ac:dyDescent="0.3">
      <c r="A95" s="88">
        <v>94</v>
      </c>
      <c r="B95" s="95" t="s">
        <v>456</v>
      </c>
      <c r="C95" s="111" t="s">
        <v>469</v>
      </c>
      <c r="D95" s="116" t="s">
        <v>470</v>
      </c>
      <c r="E95" s="116" t="s">
        <v>81</v>
      </c>
      <c r="F95" s="95" t="s">
        <v>458</v>
      </c>
      <c r="G95" s="95" t="s">
        <v>471</v>
      </c>
      <c r="H95" s="88" t="s">
        <v>35</v>
      </c>
      <c r="I95" s="117" t="s">
        <v>472</v>
      </c>
      <c r="J95" s="88" t="s">
        <v>37</v>
      </c>
      <c r="K95" s="88" t="s">
        <v>38</v>
      </c>
      <c r="L95" s="95" t="s">
        <v>473</v>
      </c>
      <c r="M95" s="95">
        <v>1</v>
      </c>
      <c r="N95" s="95" t="s">
        <v>474</v>
      </c>
      <c r="O95" s="95"/>
      <c r="P95" s="95"/>
      <c r="Q95" s="95"/>
      <c r="R95" s="95"/>
      <c r="S95" s="95" t="s">
        <v>475</v>
      </c>
      <c r="T95" s="111"/>
      <c r="U95" s="111"/>
      <c r="V95" s="111"/>
      <c r="W95" s="111"/>
      <c r="X95" s="92" t="s">
        <v>79</v>
      </c>
      <c r="Y95" s="88" t="s">
        <v>91</v>
      </c>
      <c r="Z95" s="88"/>
      <c r="AA95" s="92" t="s">
        <v>79</v>
      </c>
      <c r="AB95" s="88" t="s">
        <v>91</v>
      </c>
      <c r="AC95" s="93"/>
      <c r="AD95" s="147">
        <v>1</v>
      </c>
    </row>
    <row r="96" spans="1:30" ht="123.75" hidden="1" customHeight="1" x14ac:dyDescent="0.3">
      <c r="A96" s="88">
        <v>95</v>
      </c>
      <c r="B96" s="95" t="s">
        <v>456</v>
      </c>
      <c r="C96" s="118" t="s">
        <v>476</v>
      </c>
      <c r="D96" s="116" t="s">
        <v>477</v>
      </c>
      <c r="E96" s="116" t="s">
        <v>478</v>
      </c>
      <c r="F96" s="95" t="s">
        <v>458</v>
      </c>
      <c r="G96" s="95" t="s">
        <v>479</v>
      </c>
      <c r="H96" s="88" t="s">
        <v>35</v>
      </c>
      <c r="I96" s="117" t="s">
        <v>480</v>
      </c>
      <c r="J96" s="88" t="s">
        <v>37</v>
      </c>
      <c r="K96" s="88" t="s">
        <v>38</v>
      </c>
      <c r="L96" s="95" t="s">
        <v>481</v>
      </c>
      <c r="M96" s="95"/>
      <c r="N96" s="95"/>
      <c r="O96" s="95"/>
      <c r="P96" s="95"/>
      <c r="Q96" s="95"/>
      <c r="R96" s="95"/>
      <c r="S96" s="95"/>
      <c r="T96" s="111"/>
      <c r="U96" s="111"/>
      <c r="V96" s="95"/>
      <c r="W96" s="95"/>
      <c r="X96" s="92" t="s">
        <v>185</v>
      </c>
      <c r="Y96" s="88" t="s">
        <v>185</v>
      </c>
      <c r="Z96" s="88"/>
      <c r="AA96" s="92" t="s">
        <v>185</v>
      </c>
      <c r="AB96" s="88" t="s">
        <v>185</v>
      </c>
      <c r="AC96" s="93"/>
      <c r="AD96" s="147">
        <v>1</v>
      </c>
    </row>
    <row r="97" spans="1:31" ht="123.75" hidden="1" customHeight="1" x14ac:dyDescent="0.3">
      <c r="A97" s="88">
        <v>96</v>
      </c>
      <c r="B97" s="95" t="s">
        <v>456</v>
      </c>
      <c r="C97" s="118" t="s">
        <v>482</v>
      </c>
      <c r="D97" s="116" t="s">
        <v>483</v>
      </c>
      <c r="E97" s="116" t="s">
        <v>484</v>
      </c>
      <c r="F97" s="95" t="s">
        <v>458</v>
      </c>
      <c r="G97" s="95" t="s">
        <v>479</v>
      </c>
      <c r="H97" s="88" t="s">
        <v>35</v>
      </c>
      <c r="I97" s="117" t="s">
        <v>480</v>
      </c>
      <c r="J97" s="88" t="s">
        <v>37</v>
      </c>
      <c r="K97" s="88" t="s">
        <v>38</v>
      </c>
      <c r="L97" s="95" t="s">
        <v>481</v>
      </c>
      <c r="M97" s="95"/>
      <c r="N97" s="95"/>
      <c r="O97" s="95"/>
      <c r="P97" s="95"/>
      <c r="Q97" s="95"/>
      <c r="R97" s="95"/>
      <c r="S97" s="95"/>
      <c r="T97" s="111"/>
      <c r="U97" s="111"/>
      <c r="V97" s="95"/>
      <c r="W97" s="95"/>
      <c r="X97" s="92" t="s">
        <v>79</v>
      </c>
      <c r="Y97" s="88" t="s">
        <v>91</v>
      </c>
      <c r="Z97" s="88"/>
      <c r="AA97" s="92" t="s">
        <v>79</v>
      </c>
      <c r="AB97" s="88" t="s">
        <v>91</v>
      </c>
      <c r="AC97" s="93"/>
      <c r="AD97" s="147">
        <v>1</v>
      </c>
      <c r="AE97" s="9"/>
    </row>
    <row r="98" spans="1:31" ht="125.25" hidden="1" customHeight="1" x14ac:dyDescent="0.3">
      <c r="A98" s="88">
        <v>97</v>
      </c>
      <c r="B98" s="95" t="s">
        <v>456</v>
      </c>
      <c r="C98" s="111" t="s">
        <v>485</v>
      </c>
      <c r="D98" s="116" t="s">
        <v>486</v>
      </c>
      <c r="E98" s="116" t="s">
        <v>487</v>
      </c>
      <c r="F98" s="95" t="s">
        <v>458</v>
      </c>
      <c r="G98" s="95" t="s">
        <v>488</v>
      </c>
      <c r="H98" s="88" t="s">
        <v>35</v>
      </c>
      <c r="I98" s="117" t="s">
        <v>489</v>
      </c>
      <c r="J98" s="88" t="s">
        <v>37</v>
      </c>
      <c r="K98" s="88" t="s">
        <v>38</v>
      </c>
      <c r="L98" s="95" t="s">
        <v>481</v>
      </c>
      <c r="M98" s="95"/>
      <c r="N98" s="95"/>
      <c r="O98" s="95"/>
      <c r="P98" s="95"/>
      <c r="Q98" s="95"/>
      <c r="R98" s="95"/>
      <c r="S98" s="95"/>
      <c r="T98" s="111"/>
      <c r="U98" s="111"/>
      <c r="V98" s="95"/>
      <c r="W98" s="95"/>
      <c r="X98" s="92" t="s">
        <v>79</v>
      </c>
      <c r="Y98" s="88" t="s">
        <v>79</v>
      </c>
      <c r="Z98" s="88"/>
      <c r="AA98" s="92" t="s">
        <v>79</v>
      </c>
      <c r="AB98" s="88" t="s">
        <v>79</v>
      </c>
      <c r="AC98" s="93"/>
      <c r="AD98" s="147">
        <v>1</v>
      </c>
    </row>
    <row r="99" spans="1:31" ht="101.25" hidden="1" customHeight="1" x14ac:dyDescent="0.3">
      <c r="A99" s="88">
        <v>98</v>
      </c>
      <c r="B99" s="95" t="s">
        <v>456</v>
      </c>
      <c r="C99" s="111" t="s">
        <v>490</v>
      </c>
      <c r="D99" s="116" t="s">
        <v>491</v>
      </c>
      <c r="E99" s="116" t="s">
        <v>492</v>
      </c>
      <c r="F99" s="95" t="s">
        <v>458</v>
      </c>
      <c r="G99" s="111" t="s">
        <v>493</v>
      </c>
      <c r="H99" s="88" t="s">
        <v>35</v>
      </c>
      <c r="I99" s="117" t="s">
        <v>489</v>
      </c>
      <c r="J99" s="88" t="s">
        <v>37</v>
      </c>
      <c r="K99" s="88" t="s">
        <v>38</v>
      </c>
      <c r="L99" s="95" t="s">
        <v>481</v>
      </c>
      <c r="M99" s="95"/>
      <c r="N99" s="95"/>
      <c r="O99" s="95"/>
      <c r="P99" s="95"/>
      <c r="Q99" s="95"/>
      <c r="R99" s="95"/>
      <c r="S99" s="95"/>
      <c r="T99" s="111"/>
      <c r="U99" s="111"/>
      <c r="V99" s="95"/>
      <c r="W99" s="95"/>
      <c r="X99" s="92" t="s">
        <v>91</v>
      </c>
      <c r="Y99" s="88" t="s">
        <v>75</v>
      </c>
      <c r="Z99" s="88"/>
      <c r="AA99" s="92" t="s">
        <v>91</v>
      </c>
      <c r="AB99" s="88" t="s">
        <v>75</v>
      </c>
      <c r="AC99" s="93"/>
      <c r="AD99" s="147">
        <v>1</v>
      </c>
    </row>
    <row r="100" spans="1:31" ht="188.25" hidden="1" customHeight="1" x14ac:dyDescent="0.3">
      <c r="A100" s="88">
        <v>99</v>
      </c>
      <c r="B100" s="95" t="s">
        <v>456</v>
      </c>
      <c r="C100" s="111" t="s">
        <v>494</v>
      </c>
      <c r="D100" s="116" t="s">
        <v>495</v>
      </c>
      <c r="E100" s="116" t="s">
        <v>496</v>
      </c>
      <c r="F100" s="95" t="s">
        <v>458</v>
      </c>
      <c r="G100" s="95" t="s">
        <v>497</v>
      </c>
      <c r="H100" s="88" t="s">
        <v>35</v>
      </c>
      <c r="I100" s="117" t="s">
        <v>498</v>
      </c>
      <c r="J100" s="88" t="s">
        <v>37</v>
      </c>
      <c r="K100" s="88" t="s">
        <v>38</v>
      </c>
      <c r="L100" s="95" t="s">
        <v>461</v>
      </c>
      <c r="M100" s="95" t="s">
        <v>54</v>
      </c>
      <c r="N100" s="95" t="s">
        <v>499</v>
      </c>
      <c r="O100" s="95" t="s">
        <v>271</v>
      </c>
      <c r="P100" s="95"/>
      <c r="Q100" s="95"/>
      <c r="R100" s="95" t="s">
        <v>154</v>
      </c>
      <c r="S100" s="88" t="s">
        <v>500</v>
      </c>
      <c r="T100" s="95" t="s">
        <v>153</v>
      </c>
      <c r="U100" s="111"/>
      <c r="V100" s="111"/>
      <c r="W100" s="111"/>
      <c r="X100" s="92" t="s">
        <v>91</v>
      </c>
      <c r="Y100" s="88" t="s">
        <v>75</v>
      </c>
      <c r="Z100" s="88"/>
      <c r="AA100" s="92" t="s">
        <v>91</v>
      </c>
      <c r="AB100" s="88" t="s">
        <v>75</v>
      </c>
      <c r="AC100" s="93"/>
      <c r="AD100" s="147">
        <v>1</v>
      </c>
    </row>
    <row r="101" spans="1:31" ht="161.25" hidden="1" customHeight="1" x14ac:dyDescent="0.3">
      <c r="A101" s="88">
        <v>100</v>
      </c>
      <c r="B101" s="95" t="s">
        <v>456</v>
      </c>
      <c r="C101" s="111" t="s">
        <v>501</v>
      </c>
      <c r="D101" s="116" t="s">
        <v>463</v>
      </c>
      <c r="E101" s="116" t="s">
        <v>502</v>
      </c>
      <c r="F101" s="95" t="s">
        <v>458</v>
      </c>
      <c r="G101" s="95" t="s">
        <v>497</v>
      </c>
      <c r="H101" s="88" t="s">
        <v>35</v>
      </c>
      <c r="I101" s="117" t="s">
        <v>489</v>
      </c>
      <c r="J101" s="88" t="s">
        <v>37</v>
      </c>
      <c r="K101" s="88" t="s">
        <v>38</v>
      </c>
      <c r="L101" s="95" t="s">
        <v>481</v>
      </c>
      <c r="M101" s="95"/>
      <c r="N101" s="95"/>
      <c r="O101" s="95"/>
      <c r="P101" s="95"/>
      <c r="Q101" s="95"/>
      <c r="R101" s="95"/>
      <c r="S101" s="95"/>
      <c r="T101" s="111"/>
      <c r="U101" s="111"/>
      <c r="V101" s="95"/>
      <c r="W101" s="95"/>
      <c r="X101" s="92" t="s">
        <v>43</v>
      </c>
      <c r="Y101" s="88" t="s">
        <v>91</v>
      </c>
      <c r="Z101" s="88"/>
      <c r="AA101" s="92" t="s">
        <v>43</v>
      </c>
      <c r="AB101" s="88" t="s">
        <v>91</v>
      </c>
      <c r="AC101" s="93"/>
      <c r="AD101" s="147">
        <v>1</v>
      </c>
    </row>
    <row r="102" spans="1:31" ht="146.25" hidden="1" customHeight="1" x14ac:dyDescent="0.3">
      <c r="A102" s="88">
        <v>101</v>
      </c>
      <c r="B102" s="95" t="s">
        <v>456</v>
      </c>
      <c r="C102" s="111" t="s">
        <v>503</v>
      </c>
      <c r="D102" s="116" t="s">
        <v>504</v>
      </c>
      <c r="E102" s="116" t="s">
        <v>505</v>
      </c>
      <c r="F102" s="95" t="s">
        <v>458</v>
      </c>
      <c r="G102" s="95" t="s">
        <v>506</v>
      </c>
      <c r="H102" s="88" t="s">
        <v>35</v>
      </c>
      <c r="I102" s="117" t="s">
        <v>507</v>
      </c>
      <c r="J102" s="88" t="s">
        <v>37</v>
      </c>
      <c r="K102" s="88" t="s">
        <v>38</v>
      </c>
      <c r="L102" s="95" t="s">
        <v>508</v>
      </c>
      <c r="M102" s="95"/>
      <c r="N102" s="95"/>
      <c r="O102" s="95"/>
      <c r="P102" s="95"/>
      <c r="Q102" s="95"/>
      <c r="R102" s="95"/>
      <c r="S102" s="95"/>
      <c r="T102" s="111"/>
      <c r="U102" s="111"/>
      <c r="V102" s="111"/>
      <c r="W102" s="111"/>
      <c r="X102" s="92" t="s">
        <v>79</v>
      </c>
      <c r="Y102" s="88" t="s">
        <v>91</v>
      </c>
      <c r="Z102" s="88"/>
      <c r="AA102" s="92" t="s">
        <v>79</v>
      </c>
      <c r="AB102" s="88" t="s">
        <v>91</v>
      </c>
      <c r="AC102" s="93"/>
      <c r="AD102" s="147">
        <v>1</v>
      </c>
    </row>
    <row r="103" spans="1:31" ht="210" hidden="1" customHeight="1" x14ac:dyDescent="0.3">
      <c r="A103" s="88">
        <v>102</v>
      </c>
      <c r="B103" s="95" t="s">
        <v>509</v>
      </c>
      <c r="C103" s="111" t="s">
        <v>510</v>
      </c>
      <c r="D103" s="113" t="s">
        <v>511</v>
      </c>
      <c r="E103" s="113"/>
      <c r="F103" s="111" t="s">
        <v>33</v>
      </c>
      <c r="G103" s="95" t="s">
        <v>512</v>
      </c>
      <c r="H103" s="88" t="s">
        <v>37</v>
      </c>
      <c r="I103" s="111" t="s">
        <v>513</v>
      </c>
      <c r="J103" s="88" t="s">
        <v>35</v>
      </c>
      <c r="K103" s="88" t="s">
        <v>145</v>
      </c>
      <c r="L103" s="95" t="s">
        <v>514</v>
      </c>
      <c r="M103" s="95" t="s">
        <v>48</v>
      </c>
      <c r="N103" s="95" t="s">
        <v>515</v>
      </c>
      <c r="O103" s="95"/>
      <c r="P103" s="95">
        <v>3</v>
      </c>
      <c r="Q103" s="95"/>
      <c r="R103" s="95">
        <v>6</v>
      </c>
      <c r="S103" s="95" t="s">
        <v>98</v>
      </c>
      <c r="T103" s="95" t="s">
        <v>62</v>
      </c>
      <c r="U103" s="111"/>
      <c r="V103" s="111">
        <v>7</v>
      </c>
      <c r="W103" s="111"/>
      <c r="X103" s="92" t="s">
        <v>91</v>
      </c>
      <c r="Y103" s="111" t="s">
        <v>43</v>
      </c>
      <c r="Z103" s="111"/>
      <c r="AA103" s="92" t="s">
        <v>91</v>
      </c>
      <c r="AB103" s="111" t="s">
        <v>43</v>
      </c>
      <c r="AC103" s="119"/>
      <c r="AD103" s="149">
        <v>1</v>
      </c>
    </row>
    <row r="104" spans="1:31" ht="76.5" hidden="1" customHeight="1" x14ac:dyDescent="0.3">
      <c r="A104" s="88">
        <v>103</v>
      </c>
      <c r="B104" s="95" t="s">
        <v>516</v>
      </c>
      <c r="C104" s="120" t="s">
        <v>382</v>
      </c>
      <c r="D104" s="113" t="s">
        <v>517</v>
      </c>
      <c r="E104" s="113" t="s">
        <v>518</v>
      </c>
      <c r="F104" s="111" t="s">
        <v>519</v>
      </c>
      <c r="G104" s="95" t="s">
        <v>520</v>
      </c>
      <c r="H104" s="88" t="s">
        <v>35</v>
      </c>
      <c r="I104" s="95" t="s">
        <v>521</v>
      </c>
      <c r="J104" s="88" t="s">
        <v>37</v>
      </c>
      <c r="K104" s="88" t="s">
        <v>38</v>
      </c>
      <c r="L104" s="95" t="s">
        <v>78</v>
      </c>
      <c r="M104" s="95"/>
      <c r="N104" s="95"/>
      <c r="O104" s="95"/>
      <c r="P104" s="95"/>
      <c r="Q104" s="95">
        <v>24</v>
      </c>
      <c r="R104" s="95"/>
      <c r="S104" s="95"/>
      <c r="T104" s="95"/>
      <c r="U104" s="111"/>
      <c r="V104" s="111"/>
      <c r="W104" s="111"/>
      <c r="X104" s="92" t="s">
        <v>43</v>
      </c>
      <c r="Y104" s="95" t="s">
        <v>91</v>
      </c>
      <c r="Z104" s="95"/>
      <c r="AA104" s="92" t="s">
        <v>43</v>
      </c>
      <c r="AB104" s="95" t="s">
        <v>91</v>
      </c>
      <c r="AC104" s="119"/>
      <c r="AD104" s="149">
        <v>1</v>
      </c>
    </row>
    <row r="105" spans="1:31" ht="76.5" hidden="1" customHeight="1" x14ac:dyDescent="0.3">
      <c r="A105" s="88">
        <v>104</v>
      </c>
      <c r="B105" s="95" t="s">
        <v>516</v>
      </c>
      <c r="C105" s="120"/>
      <c r="D105" s="113"/>
      <c r="E105" s="113" t="s">
        <v>200</v>
      </c>
      <c r="F105" s="111" t="s">
        <v>519</v>
      </c>
      <c r="G105" s="95" t="s">
        <v>520</v>
      </c>
      <c r="H105" s="88" t="s">
        <v>35</v>
      </c>
      <c r="I105" s="95" t="s">
        <v>521</v>
      </c>
      <c r="J105" s="88" t="s">
        <v>37</v>
      </c>
      <c r="K105" s="88" t="s">
        <v>38</v>
      </c>
      <c r="L105" s="95" t="s">
        <v>47</v>
      </c>
      <c r="M105" s="95"/>
      <c r="N105" s="95"/>
      <c r="O105" s="95"/>
      <c r="P105" s="95"/>
      <c r="Q105" s="95"/>
      <c r="R105" s="95"/>
      <c r="S105" s="95"/>
      <c r="T105" s="95"/>
      <c r="U105" s="111"/>
      <c r="V105" s="111"/>
      <c r="W105" s="111"/>
      <c r="X105" s="92" t="s">
        <v>79</v>
      </c>
      <c r="Y105" s="95" t="s">
        <v>79</v>
      </c>
      <c r="Z105" s="95"/>
      <c r="AA105" s="92" t="s">
        <v>79</v>
      </c>
      <c r="AB105" s="95" t="s">
        <v>79</v>
      </c>
      <c r="AC105" s="119"/>
      <c r="AD105" s="149">
        <v>1</v>
      </c>
    </row>
    <row r="106" spans="1:31" ht="76.5" hidden="1" customHeight="1" x14ac:dyDescent="0.3">
      <c r="A106" s="88">
        <v>105</v>
      </c>
      <c r="B106" s="95" t="s">
        <v>516</v>
      </c>
      <c r="C106" s="111"/>
      <c r="D106" s="113"/>
      <c r="E106" s="113" t="s">
        <v>522</v>
      </c>
      <c r="F106" s="111" t="s">
        <v>519</v>
      </c>
      <c r="G106" s="95" t="s">
        <v>520</v>
      </c>
      <c r="H106" s="88" t="s">
        <v>35</v>
      </c>
      <c r="I106" s="95" t="s">
        <v>521</v>
      </c>
      <c r="J106" s="88" t="s">
        <v>37</v>
      </c>
      <c r="K106" s="88" t="s">
        <v>38</v>
      </c>
      <c r="L106" s="95" t="s">
        <v>47</v>
      </c>
      <c r="M106" s="95"/>
      <c r="N106" s="95"/>
      <c r="O106" s="95"/>
      <c r="P106" s="95"/>
      <c r="Q106" s="95"/>
      <c r="R106" s="95"/>
      <c r="S106" s="95"/>
      <c r="T106" s="95"/>
      <c r="U106" s="111"/>
      <c r="V106" s="111"/>
      <c r="W106" s="111"/>
      <c r="X106" s="92" t="s">
        <v>91</v>
      </c>
      <c r="Y106" s="95" t="s">
        <v>91</v>
      </c>
      <c r="Z106" s="95"/>
      <c r="AA106" s="92" t="s">
        <v>91</v>
      </c>
      <c r="AB106" s="95" t="s">
        <v>91</v>
      </c>
      <c r="AC106" s="119"/>
      <c r="AD106" s="149">
        <v>1</v>
      </c>
    </row>
    <row r="107" spans="1:31" ht="116.25" customHeight="1" x14ac:dyDescent="0.3">
      <c r="A107" s="88">
        <v>106</v>
      </c>
      <c r="B107" s="95" t="s">
        <v>523</v>
      </c>
      <c r="C107" s="111">
        <v>6</v>
      </c>
      <c r="D107" s="113" t="s">
        <v>524</v>
      </c>
      <c r="E107" s="113"/>
      <c r="F107" s="111" t="s">
        <v>525</v>
      </c>
      <c r="G107" s="95" t="s">
        <v>526</v>
      </c>
      <c r="H107" s="88" t="s">
        <v>35</v>
      </c>
      <c r="I107" s="95" t="s">
        <v>527</v>
      </c>
      <c r="J107" s="88" t="s">
        <v>37</v>
      </c>
      <c r="K107" s="88" t="s">
        <v>145</v>
      </c>
      <c r="L107" s="95" t="s">
        <v>326</v>
      </c>
      <c r="M107" s="95"/>
      <c r="N107" s="95"/>
      <c r="O107" s="95"/>
      <c r="P107" s="95"/>
      <c r="Q107" s="95"/>
      <c r="R107" s="95"/>
      <c r="S107" s="95"/>
      <c r="T107" s="95"/>
      <c r="U107" s="111"/>
      <c r="V107" s="111"/>
      <c r="W107" s="111"/>
      <c r="X107" s="92" t="s">
        <v>91</v>
      </c>
      <c r="Y107" s="95" t="s">
        <v>42</v>
      </c>
      <c r="Z107" s="95"/>
      <c r="AA107" s="92" t="s">
        <v>91</v>
      </c>
      <c r="AB107" s="95" t="s">
        <v>42</v>
      </c>
      <c r="AC107" s="119"/>
      <c r="AD107" s="149">
        <v>1</v>
      </c>
    </row>
    <row r="108" spans="1:31" ht="96.75" customHeight="1" x14ac:dyDescent="0.3">
      <c r="A108" s="88">
        <v>107</v>
      </c>
      <c r="B108" s="95" t="s">
        <v>523</v>
      </c>
      <c r="C108" s="111">
        <v>7</v>
      </c>
      <c r="D108" s="113" t="s">
        <v>178</v>
      </c>
      <c r="E108" s="113"/>
      <c r="F108" s="111" t="s">
        <v>525</v>
      </c>
      <c r="G108" s="95" t="s">
        <v>526</v>
      </c>
      <c r="H108" s="88" t="s">
        <v>35</v>
      </c>
      <c r="I108" s="95" t="s">
        <v>528</v>
      </c>
      <c r="J108" s="88" t="s">
        <v>37</v>
      </c>
      <c r="K108" s="88" t="s">
        <v>38</v>
      </c>
      <c r="L108" s="95" t="s">
        <v>326</v>
      </c>
      <c r="M108" s="95"/>
      <c r="N108" s="95"/>
      <c r="O108" s="95"/>
      <c r="P108" s="95"/>
      <c r="Q108" s="95"/>
      <c r="R108" s="95"/>
      <c r="S108" s="95"/>
      <c r="T108" s="95"/>
      <c r="U108" s="111"/>
      <c r="V108" s="111"/>
      <c r="W108" s="111"/>
      <c r="X108" s="92" t="s">
        <v>75</v>
      </c>
      <c r="Y108" s="95" t="s">
        <v>79</v>
      </c>
      <c r="Z108" s="95"/>
      <c r="AA108" s="92" t="s">
        <v>75</v>
      </c>
      <c r="AB108" s="95" t="s">
        <v>79</v>
      </c>
      <c r="AC108" s="119"/>
      <c r="AD108" s="149">
        <v>1</v>
      </c>
    </row>
    <row r="109" spans="1:31" ht="152.25" customHeight="1" x14ac:dyDescent="0.3">
      <c r="A109" s="88">
        <v>108</v>
      </c>
      <c r="B109" s="95" t="s">
        <v>523</v>
      </c>
      <c r="C109" s="111">
        <v>8</v>
      </c>
      <c r="D109" s="113" t="s">
        <v>529</v>
      </c>
      <c r="E109" s="113"/>
      <c r="F109" s="111" t="s">
        <v>525</v>
      </c>
      <c r="G109" s="95" t="s">
        <v>530</v>
      </c>
      <c r="H109" s="88" t="s">
        <v>35</v>
      </c>
      <c r="I109" s="95" t="s">
        <v>531</v>
      </c>
      <c r="J109" s="88" t="s">
        <v>37</v>
      </c>
      <c r="K109" s="88" t="s">
        <v>145</v>
      </c>
      <c r="L109" s="95" t="s">
        <v>326</v>
      </c>
      <c r="M109" s="95"/>
      <c r="N109" s="95"/>
      <c r="O109" s="95"/>
      <c r="P109" s="95"/>
      <c r="Q109" s="95"/>
      <c r="R109" s="95"/>
      <c r="S109" s="95"/>
      <c r="T109" s="95"/>
      <c r="U109" s="111"/>
      <c r="V109" s="111"/>
      <c r="W109" s="111"/>
      <c r="X109" s="92" t="s">
        <v>79</v>
      </c>
      <c r="Y109" s="95" t="s">
        <v>79</v>
      </c>
      <c r="Z109" s="95"/>
      <c r="AA109" s="92" t="s">
        <v>79</v>
      </c>
      <c r="AB109" s="95" t="s">
        <v>79</v>
      </c>
      <c r="AC109" s="119"/>
      <c r="AD109" s="149">
        <v>1</v>
      </c>
    </row>
    <row r="110" spans="1:31" ht="93.75" customHeight="1" x14ac:dyDescent="0.3">
      <c r="A110" s="88">
        <v>109</v>
      </c>
      <c r="B110" s="95" t="s">
        <v>523</v>
      </c>
      <c r="C110" s="111">
        <v>9</v>
      </c>
      <c r="D110" s="113" t="s">
        <v>532</v>
      </c>
      <c r="E110" s="113"/>
      <c r="F110" s="111" t="s">
        <v>525</v>
      </c>
      <c r="G110" s="95" t="s">
        <v>533</v>
      </c>
      <c r="H110" s="88" t="s">
        <v>35</v>
      </c>
      <c r="I110" s="95" t="s">
        <v>534</v>
      </c>
      <c r="J110" s="88" t="s">
        <v>37</v>
      </c>
      <c r="K110" s="88" t="s">
        <v>38</v>
      </c>
      <c r="L110" s="95" t="s">
        <v>326</v>
      </c>
      <c r="M110" s="95"/>
      <c r="N110" s="95"/>
      <c r="O110" s="95"/>
      <c r="P110" s="95"/>
      <c r="Q110" s="95"/>
      <c r="R110" s="95"/>
      <c r="S110" s="95"/>
      <c r="T110" s="95"/>
      <c r="U110" s="111"/>
      <c r="V110" s="111"/>
      <c r="W110" s="111"/>
      <c r="X110" s="92" t="s">
        <v>79</v>
      </c>
      <c r="Y110" s="95" t="s">
        <v>79</v>
      </c>
      <c r="Z110" s="95"/>
      <c r="AA110" s="92" t="s">
        <v>79</v>
      </c>
      <c r="AB110" s="95" t="s">
        <v>79</v>
      </c>
      <c r="AC110" s="119"/>
      <c r="AD110" s="149">
        <v>1</v>
      </c>
    </row>
    <row r="111" spans="1:31" ht="93.75" hidden="1" customHeight="1" x14ac:dyDescent="0.3">
      <c r="A111" s="88">
        <v>110</v>
      </c>
      <c r="B111" s="121" t="s">
        <v>535</v>
      </c>
      <c r="C111" s="122" t="s">
        <v>536</v>
      </c>
      <c r="D111" s="116" t="s">
        <v>453</v>
      </c>
      <c r="E111" s="116" t="s">
        <v>537</v>
      </c>
      <c r="F111" s="95" t="s">
        <v>538</v>
      </c>
      <c r="G111" s="95" t="s">
        <v>539</v>
      </c>
      <c r="H111" s="88" t="s">
        <v>37</v>
      </c>
      <c r="I111" s="95" t="s">
        <v>540</v>
      </c>
      <c r="J111" s="88" t="s">
        <v>37</v>
      </c>
      <c r="K111" s="88" t="s">
        <v>38</v>
      </c>
      <c r="L111" s="117" t="s">
        <v>72</v>
      </c>
      <c r="M111" s="95"/>
      <c r="N111" s="95"/>
      <c r="O111" s="95"/>
      <c r="P111" s="95"/>
      <c r="Q111" s="95" t="s">
        <v>102</v>
      </c>
      <c r="R111" s="95"/>
      <c r="S111" s="95" t="s">
        <v>541</v>
      </c>
      <c r="T111" s="95"/>
      <c r="U111" s="111"/>
      <c r="V111" s="111"/>
      <c r="W111" s="111"/>
      <c r="X111" s="92" t="s">
        <v>42</v>
      </c>
      <c r="Y111" s="111" t="s">
        <v>43</v>
      </c>
      <c r="Z111" s="111"/>
      <c r="AA111" s="92" t="s">
        <v>42</v>
      </c>
      <c r="AB111" s="111" t="s">
        <v>43</v>
      </c>
      <c r="AC111" s="119"/>
      <c r="AD111" s="149">
        <v>1</v>
      </c>
    </row>
    <row r="112" spans="1:31" ht="93.75" hidden="1" customHeight="1" x14ac:dyDescent="0.3">
      <c r="A112" s="88">
        <v>111</v>
      </c>
      <c r="B112" s="121" t="s">
        <v>535</v>
      </c>
      <c r="C112" s="122"/>
      <c r="D112" s="116"/>
      <c r="E112" s="116" t="s">
        <v>542</v>
      </c>
      <c r="F112" s="95" t="s">
        <v>538</v>
      </c>
      <c r="G112" s="95" t="s">
        <v>539</v>
      </c>
      <c r="H112" s="88" t="s">
        <v>37</v>
      </c>
      <c r="I112" s="95" t="s">
        <v>540</v>
      </c>
      <c r="J112" s="88" t="s">
        <v>37</v>
      </c>
      <c r="K112" s="88" t="s">
        <v>38</v>
      </c>
      <c r="L112" s="117" t="s">
        <v>72</v>
      </c>
      <c r="M112" s="95"/>
      <c r="N112" s="95"/>
      <c r="O112" s="95"/>
      <c r="P112" s="95"/>
      <c r="Q112" s="95"/>
      <c r="R112" s="95"/>
      <c r="S112" s="95"/>
      <c r="T112" s="95"/>
      <c r="U112" s="111"/>
      <c r="V112" s="111"/>
      <c r="W112" s="111"/>
      <c r="X112" s="92" t="s">
        <v>79</v>
      </c>
      <c r="Y112" s="95" t="s">
        <v>91</v>
      </c>
      <c r="Z112" s="95"/>
      <c r="AA112" s="92" t="s">
        <v>79</v>
      </c>
      <c r="AB112" s="95" t="s">
        <v>91</v>
      </c>
      <c r="AC112" s="119"/>
      <c r="AD112" s="149">
        <v>1</v>
      </c>
    </row>
    <row r="113" spans="1:30" ht="93.75" hidden="1" customHeight="1" x14ac:dyDescent="0.3">
      <c r="A113" s="88">
        <v>112</v>
      </c>
      <c r="B113" s="121" t="s">
        <v>535</v>
      </c>
      <c r="C113" s="122"/>
      <c r="D113" s="116"/>
      <c r="E113" s="116" t="s">
        <v>543</v>
      </c>
      <c r="F113" s="95" t="s">
        <v>538</v>
      </c>
      <c r="G113" s="95" t="s">
        <v>539</v>
      </c>
      <c r="H113" s="88" t="s">
        <v>37</v>
      </c>
      <c r="I113" s="95" t="s">
        <v>540</v>
      </c>
      <c r="J113" s="88" t="s">
        <v>37</v>
      </c>
      <c r="K113" s="88" t="s">
        <v>38</v>
      </c>
      <c r="L113" s="117" t="s">
        <v>72</v>
      </c>
      <c r="M113" s="95"/>
      <c r="N113" s="95"/>
      <c r="O113" s="95"/>
      <c r="P113" s="95"/>
      <c r="Q113" s="95"/>
      <c r="R113" s="95"/>
      <c r="S113" s="95" t="s">
        <v>74</v>
      </c>
      <c r="T113" s="95"/>
      <c r="U113" s="111"/>
      <c r="V113" s="111"/>
      <c r="W113" s="111"/>
      <c r="X113" s="92" t="s">
        <v>79</v>
      </c>
      <c r="Y113" s="111" t="s">
        <v>43</v>
      </c>
      <c r="Z113" s="111"/>
      <c r="AA113" s="92" t="s">
        <v>79</v>
      </c>
      <c r="AB113" s="111" t="s">
        <v>43</v>
      </c>
      <c r="AC113" s="119"/>
      <c r="AD113" s="149">
        <v>1</v>
      </c>
    </row>
    <row r="114" spans="1:30" s="8" customFormat="1" ht="135" hidden="1" customHeight="1" x14ac:dyDescent="0.4">
      <c r="A114" s="88">
        <v>113</v>
      </c>
      <c r="B114" s="88" t="s">
        <v>544</v>
      </c>
      <c r="C114" s="104" t="s">
        <v>545</v>
      </c>
      <c r="D114" s="88" t="s">
        <v>400</v>
      </c>
      <c r="E114" s="88"/>
      <c r="F114" s="88" t="s">
        <v>164</v>
      </c>
      <c r="G114" s="88" t="s">
        <v>546</v>
      </c>
      <c r="H114" s="88" t="s">
        <v>35</v>
      </c>
      <c r="I114" s="88" t="s">
        <v>547</v>
      </c>
      <c r="J114" s="88" t="s">
        <v>37</v>
      </c>
      <c r="K114" s="88" t="s">
        <v>145</v>
      </c>
      <c r="L114" s="88" t="s">
        <v>548</v>
      </c>
      <c r="M114" s="92"/>
      <c r="N114" s="121"/>
      <c r="O114" s="123"/>
      <c r="P114" s="123"/>
      <c r="Q114" s="124"/>
      <c r="R114" s="92" t="s">
        <v>62</v>
      </c>
      <c r="S114" s="88" t="s">
        <v>549</v>
      </c>
      <c r="T114" s="92" t="s">
        <v>62</v>
      </c>
      <c r="U114" s="92" t="s">
        <v>549</v>
      </c>
      <c r="V114" s="92"/>
      <c r="W114" s="88"/>
      <c r="X114" s="92" t="s">
        <v>79</v>
      </c>
      <c r="Y114" s="111" t="s">
        <v>43</v>
      </c>
      <c r="Z114" s="111"/>
      <c r="AA114" s="92" t="s">
        <v>79</v>
      </c>
      <c r="AB114" s="111" t="s">
        <v>43</v>
      </c>
      <c r="AC114" s="125"/>
      <c r="AD114" s="150">
        <v>1</v>
      </c>
    </row>
    <row r="115" spans="1:30" ht="132.75" hidden="1" customHeight="1" x14ac:dyDescent="0.3">
      <c r="A115" s="88">
        <v>114</v>
      </c>
      <c r="B115" s="95" t="s">
        <v>550</v>
      </c>
      <c r="C115" s="111" t="s">
        <v>551</v>
      </c>
      <c r="D115" s="113" t="s">
        <v>156</v>
      </c>
      <c r="E115" s="126" t="s">
        <v>552</v>
      </c>
      <c r="F115" s="117" t="s">
        <v>164</v>
      </c>
      <c r="G115" s="95" t="s">
        <v>34</v>
      </c>
      <c r="H115" s="88" t="s">
        <v>35</v>
      </c>
      <c r="I115" s="117" t="s">
        <v>513</v>
      </c>
      <c r="J115" s="88" t="s">
        <v>35</v>
      </c>
      <c r="K115" s="88" t="s">
        <v>38</v>
      </c>
      <c r="L115" s="111" t="s">
        <v>83</v>
      </c>
      <c r="M115" s="111"/>
      <c r="N115" s="111"/>
      <c r="O115" s="111"/>
      <c r="P115" s="111"/>
      <c r="Q115" s="97" t="s">
        <v>126</v>
      </c>
      <c r="R115" s="111"/>
      <c r="S115" s="111"/>
      <c r="T115" s="111"/>
      <c r="U115" s="111"/>
      <c r="V115" s="111"/>
      <c r="W115" s="111"/>
      <c r="X115" s="92" t="s">
        <v>43</v>
      </c>
      <c r="Y115" s="111" t="s">
        <v>42</v>
      </c>
      <c r="Z115" s="111"/>
      <c r="AA115" s="92" t="s">
        <v>43</v>
      </c>
      <c r="AB115" s="111" t="s">
        <v>42</v>
      </c>
      <c r="AC115" s="119"/>
      <c r="AD115" s="149">
        <v>1</v>
      </c>
    </row>
    <row r="116" spans="1:30" ht="110.25" hidden="1" customHeight="1" x14ac:dyDescent="0.3">
      <c r="A116" s="88">
        <v>115</v>
      </c>
      <c r="B116" s="95" t="s">
        <v>550</v>
      </c>
      <c r="C116" s="111"/>
      <c r="D116" s="126"/>
      <c r="E116" s="127" t="s">
        <v>428</v>
      </c>
      <c r="F116" s="117" t="s">
        <v>164</v>
      </c>
      <c r="G116" s="95" t="s">
        <v>34</v>
      </c>
      <c r="H116" s="88" t="s">
        <v>35</v>
      </c>
      <c r="I116" s="117" t="s">
        <v>513</v>
      </c>
      <c r="J116" s="88" t="s">
        <v>35</v>
      </c>
      <c r="K116" s="88" t="s">
        <v>38</v>
      </c>
      <c r="L116" s="111" t="s">
        <v>83</v>
      </c>
      <c r="M116" s="111"/>
      <c r="N116" s="111"/>
      <c r="O116" s="111"/>
      <c r="P116" s="111"/>
      <c r="Q116" s="97" t="s">
        <v>98</v>
      </c>
      <c r="R116" s="111"/>
      <c r="S116" s="95" t="s">
        <v>553</v>
      </c>
      <c r="T116" s="111"/>
      <c r="U116" s="111"/>
      <c r="V116" s="111"/>
      <c r="W116" s="111"/>
      <c r="X116" s="92" t="s">
        <v>75</v>
      </c>
      <c r="Y116" s="111" t="s">
        <v>42</v>
      </c>
      <c r="Z116" s="111"/>
      <c r="AA116" s="92" t="s">
        <v>75</v>
      </c>
      <c r="AB116" s="111" t="s">
        <v>42</v>
      </c>
      <c r="AC116" s="119"/>
      <c r="AD116" s="149">
        <v>1</v>
      </c>
    </row>
    <row r="117" spans="1:30" ht="75" hidden="1" customHeight="1" x14ac:dyDescent="0.3">
      <c r="A117" s="88">
        <v>116</v>
      </c>
      <c r="B117" s="95" t="s">
        <v>550</v>
      </c>
      <c r="C117" s="111"/>
      <c r="D117" s="127"/>
      <c r="E117" s="126" t="s">
        <v>554</v>
      </c>
      <c r="F117" s="117" t="s">
        <v>164</v>
      </c>
      <c r="G117" s="95" t="s">
        <v>34</v>
      </c>
      <c r="H117" s="88" t="s">
        <v>35</v>
      </c>
      <c r="I117" s="117" t="s">
        <v>555</v>
      </c>
      <c r="J117" s="88" t="s">
        <v>35</v>
      </c>
      <c r="K117" s="88" t="s">
        <v>145</v>
      </c>
      <c r="L117" s="111" t="s">
        <v>83</v>
      </c>
      <c r="M117" s="111"/>
      <c r="N117" s="111"/>
      <c r="O117" s="111"/>
      <c r="P117" s="111"/>
      <c r="Q117" s="97" t="s">
        <v>98</v>
      </c>
      <c r="R117" s="111"/>
      <c r="S117" s="95" t="s">
        <v>556</v>
      </c>
      <c r="T117" s="111"/>
      <c r="U117" s="111"/>
      <c r="V117" s="111"/>
      <c r="W117" s="111"/>
      <c r="X117" s="92" t="s">
        <v>42</v>
      </c>
      <c r="Y117" s="111" t="s">
        <v>43</v>
      </c>
      <c r="Z117" s="111"/>
      <c r="AA117" s="92" t="s">
        <v>42</v>
      </c>
      <c r="AB117" s="111" t="s">
        <v>43</v>
      </c>
      <c r="AC117" s="119"/>
      <c r="AD117" s="149">
        <v>1</v>
      </c>
    </row>
    <row r="118" spans="1:30" ht="75" hidden="1" customHeight="1" x14ac:dyDescent="0.3">
      <c r="A118" s="88">
        <v>117</v>
      </c>
      <c r="B118" s="95" t="s">
        <v>550</v>
      </c>
      <c r="C118" s="111" t="s">
        <v>557</v>
      </c>
      <c r="D118" s="116" t="s">
        <v>558</v>
      </c>
      <c r="E118" s="126" t="s">
        <v>559</v>
      </c>
      <c r="F118" s="117" t="s">
        <v>164</v>
      </c>
      <c r="G118" s="95" t="s">
        <v>34</v>
      </c>
      <c r="H118" s="88" t="s">
        <v>35</v>
      </c>
      <c r="I118" s="117" t="s">
        <v>555</v>
      </c>
      <c r="J118" s="88" t="s">
        <v>35</v>
      </c>
      <c r="K118" s="88" t="s">
        <v>38</v>
      </c>
      <c r="L118" s="111" t="s">
        <v>83</v>
      </c>
      <c r="M118" s="111"/>
      <c r="N118" s="111"/>
      <c r="O118" s="111"/>
      <c r="P118" s="111"/>
      <c r="Q118" s="97" t="s">
        <v>560</v>
      </c>
      <c r="R118" s="111"/>
      <c r="S118" s="111" t="s">
        <v>98</v>
      </c>
      <c r="T118" s="111"/>
      <c r="U118" s="111"/>
      <c r="V118" s="111"/>
      <c r="W118" s="111"/>
      <c r="X118" s="92" t="s">
        <v>75</v>
      </c>
      <c r="Y118" s="111" t="s">
        <v>42</v>
      </c>
      <c r="Z118" s="111"/>
      <c r="AA118" s="92" t="s">
        <v>75</v>
      </c>
      <c r="AB118" s="111" t="s">
        <v>42</v>
      </c>
      <c r="AC118" s="119"/>
      <c r="AD118" s="149">
        <v>1</v>
      </c>
    </row>
    <row r="119" spans="1:30" ht="60" customHeight="1" x14ac:dyDescent="0.3">
      <c r="A119" s="88">
        <v>118</v>
      </c>
      <c r="B119" s="121" t="s">
        <v>561</v>
      </c>
      <c r="C119" s="111">
        <v>1</v>
      </c>
      <c r="D119" s="113" t="s">
        <v>562</v>
      </c>
      <c r="E119" s="113" t="s">
        <v>563</v>
      </c>
      <c r="F119" s="95" t="s">
        <v>164</v>
      </c>
      <c r="G119" s="95" t="s">
        <v>34</v>
      </c>
      <c r="H119" s="88" t="s">
        <v>35</v>
      </c>
      <c r="I119" s="117" t="s">
        <v>564</v>
      </c>
      <c r="J119" s="88" t="s">
        <v>37</v>
      </c>
      <c r="K119" s="88" t="s">
        <v>38</v>
      </c>
      <c r="L119" s="111" t="s">
        <v>565</v>
      </c>
      <c r="M119" s="111"/>
      <c r="N119" s="111"/>
      <c r="O119" s="111"/>
      <c r="P119" s="111"/>
      <c r="Q119" s="121" t="s">
        <v>566</v>
      </c>
      <c r="R119" s="111"/>
      <c r="S119" s="95" t="s">
        <v>118</v>
      </c>
      <c r="T119" s="111"/>
      <c r="U119" s="111"/>
      <c r="V119" s="111"/>
      <c r="W119" s="111"/>
      <c r="X119" s="92" t="s">
        <v>43</v>
      </c>
      <c r="Y119" s="111" t="s">
        <v>43</v>
      </c>
      <c r="Z119" s="111"/>
      <c r="AA119" s="92" t="s">
        <v>43</v>
      </c>
      <c r="AB119" s="111" t="s">
        <v>43</v>
      </c>
      <c r="AC119" s="119"/>
      <c r="AD119" s="149">
        <v>1</v>
      </c>
    </row>
    <row r="120" spans="1:30" ht="60" customHeight="1" x14ac:dyDescent="0.3">
      <c r="A120" s="88">
        <v>119</v>
      </c>
      <c r="B120" s="121" t="s">
        <v>561</v>
      </c>
      <c r="C120" s="111">
        <v>2</v>
      </c>
      <c r="D120" s="113" t="s">
        <v>567</v>
      </c>
      <c r="E120" s="113" t="s">
        <v>568</v>
      </c>
      <c r="F120" s="95" t="s">
        <v>164</v>
      </c>
      <c r="G120" s="95" t="s">
        <v>34</v>
      </c>
      <c r="H120" s="88" t="s">
        <v>35</v>
      </c>
      <c r="I120" s="117" t="s">
        <v>569</v>
      </c>
      <c r="J120" s="88" t="s">
        <v>37</v>
      </c>
      <c r="K120" s="88" t="s">
        <v>38</v>
      </c>
      <c r="L120" s="111" t="s">
        <v>565</v>
      </c>
      <c r="M120" s="111"/>
      <c r="N120" s="111"/>
      <c r="O120" s="111"/>
      <c r="P120" s="111"/>
      <c r="Q120" s="121" t="s">
        <v>98</v>
      </c>
      <c r="R120" s="111"/>
      <c r="S120" s="95" t="s">
        <v>74</v>
      </c>
      <c r="T120" s="111"/>
      <c r="U120" s="111"/>
      <c r="V120" s="111"/>
      <c r="W120" s="111"/>
      <c r="X120" s="92" t="s">
        <v>42</v>
      </c>
      <c r="Y120" s="111" t="s">
        <v>43</v>
      </c>
      <c r="Z120" s="111"/>
      <c r="AA120" s="92" t="s">
        <v>42</v>
      </c>
      <c r="AB120" s="111" t="s">
        <v>43</v>
      </c>
      <c r="AC120" s="119"/>
      <c r="AD120" s="149">
        <v>1</v>
      </c>
    </row>
    <row r="121" spans="1:30" ht="60" hidden="1" customHeight="1" x14ac:dyDescent="0.3">
      <c r="A121" s="88">
        <v>120</v>
      </c>
      <c r="B121" s="121" t="s">
        <v>561</v>
      </c>
      <c r="C121" s="111"/>
      <c r="D121" s="113"/>
      <c r="E121" s="113" t="s">
        <v>570</v>
      </c>
      <c r="F121" s="95" t="s">
        <v>164</v>
      </c>
      <c r="G121" s="95" t="s">
        <v>34</v>
      </c>
      <c r="H121" s="88" t="s">
        <v>37</v>
      </c>
      <c r="I121" s="117" t="s">
        <v>571</v>
      </c>
      <c r="J121" s="88" t="s">
        <v>37</v>
      </c>
      <c r="K121" s="88" t="s">
        <v>145</v>
      </c>
      <c r="L121" s="111" t="s">
        <v>565</v>
      </c>
      <c r="M121" s="111"/>
      <c r="N121" s="111"/>
      <c r="O121" s="111"/>
      <c r="P121" s="111"/>
      <c r="Q121" s="121" t="s">
        <v>74</v>
      </c>
      <c r="R121" s="111"/>
      <c r="S121" s="95" t="s">
        <v>572</v>
      </c>
      <c r="T121" s="111"/>
      <c r="U121" s="111"/>
      <c r="V121" s="111"/>
      <c r="W121" s="111"/>
      <c r="X121" s="92" t="s">
        <v>43</v>
      </c>
      <c r="Y121" s="111" t="s">
        <v>43</v>
      </c>
      <c r="Z121" s="111"/>
      <c r="AA121" s="92" t="s">
        <v>43</v>
      </c>
      <c r="AB121" s="111" t="s">
        <v>43</v>
      </c>
      <c r="AC121" s="119"/>
      <c r="AD121" s="149">
        <v>1</v>
      </c>
    </row>
    <row r="122" spans="1:30" ht="75" hidden="1" customHeight="1" x14ac:dyDescent="0.3">
      <c r="A122" s="88">
        <v>121</v>
      </c>
      <c r="B122" s="121" t="s">
        <v>561</v>
      </c>
      <c r="C122" s="111"/>
      <c r="D122" s="113"/>
      <c r="E122" s="113" t="s">
        <v>573</v>
      </c>
      <c r="F122" s="95" t="s">
        <v>164</v>
      </c>
      <c r="G122" s="95" t="s">
        <v>34</v>
      </c>
      <c r="H122" s="88" t="s">
        <v>35</v>
      </c>
      <c r="I122" s="117" t="s">
        <v>574</v>
      </c>
      <c r="J122" s="88" t="s">
        <v>37</v>
      </c>
      <c r="K122" s="88" t="s">
        <v>38</v>
      </c>
      <c r="L122" s="111" t="s">
        <v>565</v>
      </c>
      <c r="M122" s="111"/>
      <c r="N122" s="111"/>
      <c r="O122" s="111"/>
      <c r="P122" s="111"/>
      <c r="Q122" s="121" t="s">
        <v>575</v>
      </c>
      <c r="R122" s="111"/>
      <c r="S122" s="88" t="s">
        <v>576</v>
      </c>
      <c r="T122" s="111"/>
      <c r="U122" s="111"/>
      <c r="V122" s="111"/>
      <c r="W122" s="111"/>
      <c r="X122" s="92" t="s">
        <v>43</v>
      </c>
      <c r="Y122" s="111" t="s">
        <v>43</v>
      </c>
      <c r="Z122" s="111"/>
      <c r="AA122" s="92" t="s">
        <v>43</v>
      </c>
      <c r="AB122" s="111" t="s">
        <v>43</v>
      </c>
      <c r="AC122" s="119"/>
      <c r="AD122" s="149">
        <v>1</v>
      </c>
    </row>
    <row r="123" spans="1:30" ht="60" hidden="1" customHeight="1" x14ac:dyDescent="0.3">
      <c r="A123" s="88">
        <v>122</v>
      </c>
      <c r="B123" s="121" t="s">
        <v>561</v>
      </c>
      <c r="C123" s="111"/>
      <c r="D123" s="113"/>
      <c r="E123" s="113" t="s">
        <v>577</v>
      </c>
      <c r="F123" s="95" t="s">
        <v>164</v>
      </c>
      <c r="G123" s="95" t="s">
        <v>34</v>
      </c>
      <c r="H123" s="88" t="s">
        <v>35</v>
      </c>
      <c r="I123" s="117" t="s">
        <v>578</v>
      </c>
      <c r="J123" s="88" t="s">
        <v>37</v>
      </c>
      <c r="K123" s="88" t="s">
        <v>145</v>
      </c>
      <c r="L123" s="111" t="s">
        <v>565</v>
      </c>
      <c r="M123" s="111"/>
      <c r="N123" s="111"/>
      <c r="O123" s="111"/>
      <c r="P123" s="111"/>
      <c r="Q123" s="121" t="s">
        <v>579</v>
      </c>
      <c r="R123" s="111"/>
      <c r="S123" s="95" t="s">
        <v>580</v>
      </c>
      <c r="T123" s="111"/>
      <c r="U123" s="111"/>
      <c r="V123" s="111"/>
      <c r="W123" s="111"/>
      <c r="X123" s="92" t="s">
        <v>43</v>
      </c>
      <c r="Y123" s="111" t="s">
        <v>43</v>
      </c>
      <c r="Z123" s="111"/>
      <c r="AA123" s="92" t="s">
        <v>43</v>
      </c>
      <c r="AB123" s="111" t="s">
        <v>43</v>
      </c>
      <c r="AC123" s="119"/>
      <c r="AD123" s="149">
        <v>1</v>
      </c>
    </row>
    <row r="124" spans="1:30" ht="105" hidden="1" customHeight="1" x14ac:dyDescent="0.3">
      <c r="A124" s="88">
        <v>123</v>
      </c>
      <c r="B124" s="121" t="s">
        <v>561</v>
      </c>
      <c r="C124" s="111"/>
      <c r="D124" s="113"/>
      <c r="E124" s="113" t="s">
        <v>297</v>
      </c>
      <c r="F124" s="95" t="s">
        <v>164</v>
      </c>
      <c r="G124" s="95" t="s">
        <v>34</v>
      </c>
      <c r="H124" s="88" t="s">
        <v>35</v>
      </c>
      <c r="I124" s="117" t="s">
        <v>581</v>
      </c>
      <c r="J124" s="88" t="s">
        <v>37</v>
      </c>
      <c r="K124" s="88" t="s">
        <v>38</v>
      </c>
      <c r="L124" s="111" t="s">
        <v>565</v>
      </c>
      <c r="M124" s="111"/>
      <c r="N124" s="111"/>
      <c r="O124" s="111"/>
      <c r="P124" s="111"/>
      <c r="Q124" s="121" t="s">
        <v>582</v>
      </c>
      <c r="R124" s="111"/>
      <c r="S124" s="95" t="s">
        <v>74</v>
      </c>
      <c r="T124" s="111"/>
      <c r="U124" s="111"/>
      <c r="V124" s="111"/>
      <c r="W124" s="111"/>
      <c r="X124" s="92" t="s">
        <v>43</v>
      </c>
      <c r="Y124" s="111" t="s">
        <v>43</v>
      </c>
      <c r="Z124" s="111"/>
      <c r="AA124" s="92" t="s">
        <v>43</v>
      </c>
      <c r="AB124" s="111" t="s">
        <v>43</v>
      </c>
      <c r="AC124" s="119"/>
      <c r="AD124" s="149">
        <v>1</v>
      </c>
    </row>
    <row r="125" spans="1:30" ht="90" customHeight="1" x14ac:dyDescent="0.3">
      <c r="A125" s="88">
        <v>124</v>
      </c>
      <c r="B125" s="121" t="s">
        <v>561</v>
      </c>
      <c r="C125" s="111">
        <v>3</v>
      </c>
      <c r="D125" s="113" t="s">
        <v>583</v>
      </c>
      <c r="E125" s="113" t="s">
        <v>211</v>
      </c>
      <c r="F125" s="95" t="s">
        <v>164</v>
      </c>
      <c r="G125" s="95" t="s">
        <v>34</v>
      </c>
      <c r="H125" s="88" t="s">
        <v>35</v>
      </c>
      <c r="I125" s="117" t="s">
        <v>584</v>
      </c>
      <c r="J125" s="88" t="s">
        <v>37</v>
      </c>
      <c r="K125" s="88" t="s">
        <v>38</v>
      </c>
      <c r="L125" s="111"/>
      <c r="M125" s="111"/>
      <c r="N125" s="111"/>
      <c r="O125" s="111"/>
      <c r="P125" s="111"/>
      <c r="Q125" s="111"/>
      <c r="R125" s="111"/>
      <c r="S125" s="111"/>
      <c r="T125" s="111"/>
      <c r="U125" s="111"/>
      <c r="V125" s="111"/>
      <c r="W125" s="111"/>
      <c r="X125" s="92" t="s">
        <v>75</v>
      </c>
      <c r="Y125" s="95" t="s">
        <v>42</v>
      </c>
      <c r="Z125" s="95"/>
      <c r="AA125" s="92" t="s">
        <v>75</v>
      </c>
      <c r="AB125" s="95" t="s">
        <v>42</v>
      </c>
      <c r="AC125" s="119"/>
      <c r="AD125" s="149">
        <v>1</v>
      </c>
    </row>
    <row r="126" spans="1:30" ht="75" hidden="1" customHeight="1" x14ac:dyDescent="0.3">
      <c r="A126" s="88">
        <v>125</v>
      </c>
      <c r="B126" s="121" t="s">
        <v>561</v>
      </c>
      <c r="C126" s="111"/>
      <c r="D126" s="113"/>
      <c r="E126" s="113" t="s">
        <v>585</v>
      </c>
      <c r="F126" s="95" t="s">
        <v>164</v>
      </c>
      <c r="G126" s="95" t="s">
        <v>34</v>
      </c>
      <c r="H126" s="88" t="s">
        <v>35</v>
      </c>
      <c r="I126" s="117" t="s">
        <v>586</v>
      </c>
      <c r="J126" s="88" t="s">
        <v>37</v>
      </c>
      <c r="K126" s="88" t="s">
        <v>38</v>
      </c>
      <c r="L126" s="111" t="s">
        <v>565</v>
      </c>
      <c r="M126" s="111"/>
      <c r="N126" s="111"/>
      <c r="O126" s="111"/>
      <c r="P126" s="111"/>
      <c r="Q126" s="121" t="s">
        <v>74</v>
      </c>
      <c r="R126" s="111"/>
      <c r="S126" s="95" t="s">
        <v>587</v>
      </c>
      <c r="T126" s="111"/>
      <c r="U126" s="111"/>
      <c r="V126" s="111"/>
      <c r="W126" s="111"/>
      <c r="X126" s="92" t="s">
        <v>43</v>
      </c>
      <c r="Y126" s="111" t="s">
        <v>43</v>
      </c>
      <c r="Z126" s="111"/>
      <c r="AA126" s="92" t="s">
        <v>43</v>
      </c>
      <c r="AB126" s="111" t="s">
        <v>43</v>
      </c>
      <c r="AC126" s="119"/>
      <c r="AD126" s="149">
        <v>1</v>
      </c>
    </row>
    <row r="127" spans="1:30" ht="60" hidden="1" customHeight="1" x14ac:dyDescent="0.3">
      <c r="A127" s="88">
        <v>126</v>
      </c>
      <c r="B127" s="121" t="s">
        <v>561</v>
      </c>
      <c r="C127" s="111"/>
      <c r="D127" s="113"/>
      <c r="E127" s="113" t="s">
        <v>588</v>
      </c>
      <c r="F127" s="95" t="s">
        <v>164</v>
      </c>
      <c r="G127" s="95" t="s">
        <v>34</v>
      </c>
      <c r="H127" s="88" t="s">
        <v>37</v>
      </c>
      <c r="I127" s="117" t="s">
        <v>589</v>
      </c>
      <c r="J127" s="88" t="s">
        <v>37</v>
      </c>
      <c r="K127" s="88" t="s">
        <v>38</v>
      </c>
      <c r="L127" s="111" t="s">
        <v>565</v>
      </c>
      <c r="M127" s="111"/>
      <c r="N127" s="111"/>
      <c r="O127" s="111"/>
      <c r="P127" s="111"/>
      <c r="Q127" s="121" t="s">
        <v>590</v>
      </c>
      <c r="R127" s="111"/>
      <c r="S127" s="95" t="s">
        <v>591</v>
      </c>
      <c r="T127" s="111"/>
      <c r="U127" s="111"/>
      <c r="V127" s="111"/>
      <c r="W127" s="111"/>
      <c r="X127" s="92" t="s">
        <v>43</v>
      </c>
      <c r="Y127" s="111" t="s">
        <v>43</v>
      </c>
      <c r="Z127" s="111"/>
      <c r="AA127" s="92" t="s">
        <v>43</v>
      </c>
      <c r="AB127" s="111" t="s">
        <v>43</v>
      </c>
      <c r="AC127" s="119"/>
      <c r="AD127" s="149">
        <v>1</v>
      </c>
    </row>
    <row r="128" spans="1:30" ht="75" hidden="1" customHeight="1" x14ac:dyDescent="0.3">
      <c r="A128" s="88">
        <v>127</v>
      </c>
      <c r="B128" s="121" t="s">
        <v>561</v>
      </c>
      <c r="C128" s="111"/>
      <c r="D128" s="113"/>
      <c r="E128" s="113" t="s">
        <v>592</v>
      </c>
      <c r="F128" s="95" t="s">
        <v>593</v>
      </c>
      <c r="G128" s="95" t="s">
        <v>34</v>
      </c>
      <c r="H128" s="88" t="s">
        <v>35</v>
      </c>
      <c r="I128" s="117" t="s">
        <v>594</v>
      </c>
      <c r="J128" s="88" t="s">
        <v>37</v>
      </c>
      <c r="K128" s="88" t="s">
        <v>38</v>
      </c>
      <c r="L128" s="111" t="s">
        <v>565</v>
      </c>
      <c r="M128" s="111"/>
      <c r="N128" s="111"/>
      <c r="O128" s="111"/>
      <c r="P128" s="111"/>
      <c r="Q128" s="121" t="s">
        <v>115</v>
      </c>
      <c r="R128" s="111"/>
      <c r="S128" s="95" t="s">
        <v>595</v>
      </c>
      <c r="T128" s="111"/>
      <c r="U128" s="111"/>
      <c r="V128" s="111"/>
      <c r="W128" s="111"/>
      <c r="X128" s="92" t="s">
        <v>43</v>
      </c>
      <c r="Y128" s="111" t="s">
        <v>42</v>
      </c>
      <c r="Z128" s="111"/>
      <c r="AA128" s="92" t="s">
        <v>43</v>
      </c>
      <c r="AB128" s="111" t="s">
        <v>42</v>
      </c>
      <c r="AC128" s="119"/>
      <c r="AD128" s="149">
        <v>1</v>
      </c>
    </row>
    <row r="129" spans="1:30" ht="105" customHeight="1" x14ac:dyDescent="0.3">
      <c r="A129" s="88">
        <v>128</v>
      </c>
      <c r="B129" s="121" t="s">
        <v>561</v>
      </c>
      <c r="C129" s="111">
        <v>4</v>
      </c>
      <c r="D129" s="113" t="s">
        <v>596</v>
      </c>
      <c r="E129" s="113" t="s">
        <v>597</v>
      </c>
      <c r="F129" s="95" t="s">
        <v>164</v>
      </c>
      <c r="G129" s="95" t="s">
        <v>34</v>
      </c>
      <c r="H129" s="88" t="s">
        <v>35</v>
      </c>
      <c r="I129" s="117" t="s">
        <v>598</v>
      </c>
      <c r="J129" s="88" t="s">
        <v>37</v>
      </c>
      <c r="K129" s="88" t="s">
        <v>38</v>
      </c>
      <c r="L129" s="111"/>
      <c r="M129" s="111"/>
      <c r="N129" s="111"/>
      <c r="O129" s="111"/>
      <c r="P129" s="111"/>
      <c r="Q129" s="121" t="s">
        <v>599</v>
      </c>
      <c r="R129" s="111"/>
      <c r="S129" s="111"/>
      <c r="T129" s="111"/>
      <c r="U129" s="111"/>
      <c r="V129" s="111"/>
      <c r="W129" s="111"/>
      <c r="X129" s="92" t="s">
        <v>42</v>
      </c>
      <c r="Y129" s="95" t="s">
        <v>79</v>
      </c>
      <c r="Z129" s="95"/>
      <c r="AA129" s="92" t="s">
        <v>42</v>
      </c>
      <c r="AB129" s="95" t="s">
        <v>79</v>
      </c>
      <c r="AC129" s="119"/>
      <c r="AD129" s="149">
        <v>1</v>
      </c>
    </row>
    <row r="130" spans="1:30" ht="75" hidden="1" customHeight="1" x14ac:dyDescent="0.3">
      <c r="A130" s="88">
        <v>129</v>
      </c>
      <c r="B130" s="121" t="s">
        <v>561</v>
      </c>
      <c r="C130" s="111"/>
      <c r="D130" s="113"/>
      <c r="E130" s="113" t="s">
        <v>600</v>
      </c>
      <c r="F130" s="95" t="s">
        <v>164</v>
      </c>
      <c r="G130" s="95" t="s">
        <v>34</v>
      </c>
      <c r="H130" s="88" t="s">
        <v>35</v>
      </c>
      <c r="I130" s="117" t="s">
        <v>601</v>
      </c>
      <c r="J130" s="88" t="s">
        <v>37</v>
      </c>
      <c r="K130" s="88" t="s">
        <v>38</v>
      </c>
      <c r="L130" s="111"/>
      <c r="M130" s="111"/>
      <c r="N130" s="111"/>
      <c r="O130" s="111"/>
      <c r="P130" s="111"/>
      <c r="Q130" s="111"/>
      <c r="R130" s="111"/>
      <c r="S130" s="111"/>
      <c r="T130" s="111"/>
      <c r="U130" s="111"/>
      <c r="V130" s="111"/>
      <c r="W130" s="111"/>
      <c r="X130" s="92" t="s">
        <v>91</v>
      </c>
      <c r="Y130" s="95" t="s">
        <v>43</v>
      </c>
      <c r="Z130" s="95"/>
      <c r="AA130" s="92" t="s">
        <v>91</v>
      </c>
      <c r="AB130" s="95" t="s">
        <v>43</v>
      </c>
      <c r="AC130" s="119"/>
      <c r="AD130" s="149">
        <v>1</v>
      </c>
    </row>
    <row r="131" spans="1:30" ht="105" hidden="1" customHeight="1" x14ac:dyDescent="0.3">
      <c r="A131" s="88">
        <v>130</v>
      </c>
      <c r="B131" s="121" t="s">
        <v>561</v>
      </c>
      <c r="C131" s="111"/>
      <c r="D131" s="113"/>
      <c r="E131" s="113" t="s">
        <v>602</v>
      </c>
      <c r="F131" s="95" t="s">
        <v>164</v>
      </c>
      <c r="G131" s="95" t="s">
        <v>34</v>
      </c>
      <c r="H131" s="88" t="s">
        <v>35</v>
      </c>
      <c r="I131" s="117" t="s">
        <v>603</v>
      </c>
      <c r="J131" s="88" t="s">
        <v>37</v>
      </c>
      <c r="K131" s="88" t="s">
        <v>38</v>
      </c>
      <c r="L131" s="111"/>
      <c r="M131" s="111"/>
      <c r="N131" s="111"/>
      <c r="O131" s="111"/>
      <c r="P131" s="111"/>
      <c r="Q131" s="111"/>
      <c r="R131" s="111"/>
      <c r="S131" s="111"/>
      <c r="T131" s="111"/>
      <c r="U131" s="111"/>
      <c r="V131" s="111"/>
      <c r="W131" s="111"/>
      <c r="X131" s="92" t="s">
        <v>185</v>
      </c>
      <c r="Y131" s="95" t="s">
        <v>79</v>
      </c>
      <c r="Z131" s="95"/>
      <c r="AA131" s="92" t="s">
        <v>185</v>
      </c>
      <c r="AB131" s="95" t="s">
        <v>79</v>
      </c>
      <c r="AC131" s="119"/>
      <c r="AD131" s="149">
        <v>1</v>
      </c>
    </row>
    <row r="132" spans="1:30" ht="120" hidden="1" customHeight="1" x14ac:dyDescent="0.3">
      <c r="A132" s="88">
        <v>131</v>
      </c>
      <c r="B132" s="121" t="s">
        <v>561</v>
      </c>
      <c r="C132" s="111"/>
      <c r="D132" s="113"/>
      <c r="E132" s="113" t="s">
        <v>604</v>
      </c>
      <c r="F132" s="95" t="s">
        <v>164</v>
      </c>
      <c r="G132" s="95" t="s">
        <v>34</v>
      </c>
      <c r="H132" s="88" t="s">
        <v>35</v>
      </c>
      <c r="I132" s="117" t="s">
        <v>605</v>
      </c>
      <c r="J132" s="88" t="s">
        <v>37</v>
      </c>
      <c r="K132" s="88" t="s">
        <v>38</v>
      </c>
      <c r="L132" s="111"/>
      <c r="M132" s="111"/>
      <c r="N132" s="111"/>
      <c r="O132" s="111"/>
      <c r="P132" s="111"/>
      <c r="Q132" s="111"/>
      <c r="R132" s="111"/>
      <c r="S132" s="111"/>
      <c r="T132" s="111"/>
      <c r="U132" s="111"/>
      <c r="V132" s="111"/>
      <c r="W132" s="111"/>
      <c r="X132" s="92" t="s">
        <v>79</v>
      </c>
      <c r="Y132" s="95" t="s">
        <v>91</v>
      </c>
      <c r="Z132" s="95"/>
      <c r="AA132" s="92" t="s">
        <v>79</v>
      </c>
      <c r="AB132" s="95" t="s">
        <v>91</v>
      </c>
      <c r="AC132" s="119"/>
      <c r="AD132" s="149">
        <v>1</v>
      </c>
    </row>
    <row r="133" spans="1:30" ht="75" customHeight="1" x14ac:dyDescent="0.3">
      <c r="A133" s="88">
        <v>132</v>
      </c>
      <c r="B133" s="121" t="s">
        <v>561</v>
      </c>
      <c r="C133" s="111">
        <v>5</v>
      </c>
      <c r="D133" s="113" t="s">
        <v>606</v>
      </c>
      <c r="E133" s="113" t="s">
        <v>607</v>
      </c>
      <c r="F133" s="95" t="s">
        <v>164</v>
      </c>
      <c r="G133" s="95" t="s">
        <v>34</v>
      </c>
      <c r="H133" s="88" t="s">
        <v>35</v>
      </c>
      <c r="I133" s="117" t="s">
        <v>608</v>
      </c>
      <c r="J133" s="88" t="s">
        <v>37</v>
      </c>
      <c r="K133" s="88" t="s">
        <v>145</v>
      </c>
      <c r="L133" s="111"/>
      <c r="M133" s="111"/>
      <c r="N133" s="111"/>
      <c r="O133" s="111"/>
      <c r="P133" s="111"/>
      <c r="Q133" s="111"/>
      <c r="R133" s="111"/>
      <c r="S133" s="111"/>
      <c r="T133" s="111"/>
      <c r="U133" s="111"/>
      <c r="V133" s="111"/>
      <c r="W133" s="111"/>
      <c r="X133" s="92" t="s">
        <v>185</v>
      </c>
      <c r="Y133" s="95" t="s">
        <v>79</v>
      </c>
      <c r="Z133" s="95"/>
      <c r="AA133" s="92" t="s">
        <v>185</v>
      </c>
      <c r="AB133" s="95" t="s">
        <v>79</v>
      </c>
      <c r="AC133" s="119"/>
      <c r="AD133" s="149">
        <v>1</v>
      </c>
    </row>
    <row r="134" spans="1:30" ht="90" hidden="1" customHeight="1" x14ac:dyDescent="0.3">
      <c r="A134" s="88">
        <v>133</v>
      </c>
      <c r="B134" s="121" t="s">
        <v>561</v>
      </c>
      <c r="C134" s="111"/>
      <c r="D134" s="113"/>
      <c r="E134" s="113" t="s">
        <v>609</v>
      </c>
      <c r="F134" s="95" t="s">
        <v>610</v>
      </c>
      <c r="G134" s="95" t="s">
        <v>34</v>
      </c>
      <c r="H134" s="88" t="s">
        <v>35</v>
      </c>
      <c r="I134" s="117" t="s">
        <v>611</v>
      </c>
      <c r="J134" s="88" t="s">
        <v>37</v>
      </c>
      <c r="K134" s="88" t="s">
        <v>38</v>
      </c>
      <c r="L134" s="111" t="s">
        <v>565</v>
      </c>
      <c r="M134" s="111"/>
      <c r="N134" s="111"/>
      <c r="O134" s="111"/>
      <c r="P134" s="111"/>
      <c r="Q134" s="111"/>
      <c r="R134" s="111"/>
      <c r="S134" s="95" t="s">
        <v>612</v>
      </c>
      <c r="T134" s="111"/>
      <c r="U134" s="111"/>
      <c r="V134" s="111"/>
      <c r="W134" s="111"/>
      <c r="X134" s="92" t="s">
        <v>91</v>
      </c>
      <c r="Y134" s="111" t="s">
        <v>43</v>
      </c>
      <c r="Z134" s="111"/>
      <c r="AA134" s="92" t="s">
        <v>91</v>
      </c>
      <c r="AB134" s="111" t="s">
        <v>43</v>
      </c>
      <c r="AC134" s="119"/>
      <c r="AD134" s="149">
        <v>1</v>
      </c>
    </row>
    <row r="135" spans="1:30" ht="75" customHeight="1" x14ac:dyDescent="0.3">
      <c r="A135" s="88">
        <v>134</v>
      </c>
      <c r="B135" s="121" t="s">
        <v>561</v>
      </c>
      <c r="C135" s="95">
        <v>6</v>
      </c>
      <c r="D135" s="113" t="s">
        <v>613</v>
      </c>
      <c r="E135" s="113" t="s">
        <v>614</v>
      </c>
      <c r="F135" s="95" t="s">
        <v>164</v>
      </c>
      <c r="G135" s="95" t="s">
        <v>34</v>
      </c>
      <c r="H135" s="88" t="s">
        <v>35</v>
      </c>
      <c r="I135" s="117" t="s">
        <v>615</v>
      </c>
      <c r="J135" s="88" t="s">
        <v>37</v>
      </c>
      <c r="K135" s="88" t="s">
        <v>38</v>
      </c>
      <c r="L135" s="111" t="s">
        <v>565</v>
      </c>
      <c r="M135" s="111"/>
      <c r="N135" s="111"/>
      <c r="O135" s="111"/>
      <c r="P135" s="111"/>
      <c r="Q135" s="111"/>
      <c r="R135" s="111"/>
      <c r="S135" s="111"/>
      <c r="T135" s="111"/>
      <c r="U135" s="111"/>
      <c r="V135" s="111"/>
      <c r="W135" s="111"/>
      <c r="X135" s="92" t="s">
        <v>43</v>
      </c>
      <c r="Y135" s="95" t="s">
        <v>91</v>
      </c>
      <c r="Z135" s="95"/>
      <c r="AA135" s="92" t="s">
        <v>43</v>
      </c>
      <c r="AB135" s="95" t="s">
        <v>91</v>
      </c>
      <c r="AC135" s="119"/>
      <c r="AD135" s="149">
        <v>1</v>
      </c>
    </row>
    <row r="136" spans="1:30" ht="75" hidden="1" customHeight="1" x14ac:dyDescent="0.3">
      <c r="A136" s="88">
        <v>135</v>
      </c>
      <c r="B136" s="121" t="s">
        <v>561</v>
      </c>
      <c r="C136" s="95"/>
      <c r="D136" s="113"/>
      <c r="E136" s="113" t="s">
        <v>616</v>
      </c>
      <c r="F136" s="95" t="s">
        <v>164</v>
      </c>
      <c r="G136" s="95" t="s">
        <v>34</v>
      </c>
      <c r="H136" s="88" t="s">
        <v>35</v>
      </c>
      <c r="I136" s="117" t="s">
        <v>617</v>
      </c>
      <c r="J136" s="88" t="s">
        <v>37</v>
      </c>
      <c r="K136" s="88" t="s">
        <v>38</v>
      </c>
      <c r="L136" s="111" t="s">
        <v>565</v>
      </c>
      <c r="M136" s="111"/>
      <c r="N136" s="111"/>
      <c r="O136" s="111"/>
      <c r="P136" s="111"/>
      <c r="Q136" s="111"/>
      <c r="R136" s="111"/>
      <c r="S136" s="111"/>
      <c r="T136" s="111"/>
      <c r="U136" s="111"/>
      <c r="V136" s="111"/>
      <c r="W136" s="111"/>
      <c r="X136" s="92" t="s">
        <v>79</v>
      </c>
      <c r="Y136" s="95" t="s">
        <v>79</v>
      </c>
      <c r="Z136" s="95"/>
      <c r="AA136" s="92" t="s">
        <v>79</v>
      </c>
      <c r="AB136" s="95" t="s">
        <v>79</v>
      </c>
      <c r="AC136" s="119"/>
      <c r="AD136" s="149">
        <v>1</v>
      </c>
    </row>
    <row r="137" spans="1:30" ht="60" hidden="1" customHeight="1" x14ac:dyDescent="0.3">
      <c r="A137" s="88">
        <v>136</v>
      </c>
      <c r="B137" s="121" t="s">
        <v>561</v>
      </c>
      <c r="C137" s="95"/>
      <c r="D137" s="113"/>
      <c r="E137" s="113" t="s">
        <v>477</v>
      </c>
      <c r="F137" s="95" t="s">
        <v>164</v>
      </c>
      <c r="G137" s="95" t="s">
        <v>34</v>
      </c>
      <c r="H137" s="88" t="s">
        <v>35</v>
      </c>
      <c r="I137" s="117" t="s">
        <v>618</v>
      </c>
      <c r="J137" s="88" t="s">
        <v>37</v>
      </c>
      <c r="K137" s="88" t="s">
        <v>145</v>
      </c>
      <c r="L137" s="111" t="s">
        <v>565</v>
      </c>
      <c r="M137" s="111"/>
      <c r="N137" s="111"/>
      <c r="O137" s="111"/>
      <c r="P137" s="111"/>
      <c r="Q137" s="111"/>
      <c r="R137" s="111"/>
      <c r="S137" s="111"/>
      <c r="T137" s="111"/>
      <c r="U137" s="111"/>
      <c r="V137" s="111"/>
      <c r="W137" s="111"/>
      <c r="X137" s="92" t="s">
        <v>42</v>
      </c>
      <c r="Y137" s="95" t="s">
        <v>43</v>
      </c>
      <c r="Z137" s="95"/>
      <c r="AA137" s="92" t="s">
        <v>42</v>
      </c>
      <c r="AB137" s="95" t="s">
        <v>43</v>
      </c>
      <c r="AC137" s="119"/>
      <c r="AD137" s="149">
        <v>1</v>
      </c>
    </row>
    <row r="138" spans="1:30" ht="60" customHeight="1" x14ac:dyDescent="0.3">
      <c r="A138" s="88">
        <v>137</v>
      </c>
      <c r="B138" s="121" t="s">
        <v>561</v>
      </c>
      <c r="C138" s="111">
        <v>7</v>
      </c>
      <c r="D138" s="113" t="s">
        <v>619</v>
      </c>
      <c r="E138" s="113" t="s">
        <v>597</v>
      </c>
      <c r="F138" s="95" t="s">
        <v>164</v>
      </c>
      <c r="G138" s="95" t="s">
        <v>34</v>
      </c>
      <c r="H138" s="88" t="s">
        <v>35</v>
      </c>
      <c r="I138" s="117" t="s">
        <v>620</v>
      </c>
      <c r="J138" s="88" t="s">
        <v>35</v>
      </c>
      <c r="K138" s="88" t="s">
        <v>38</v>
      </c>
      <c r="L138" s="111" t="s">
        <v>565</v>
      </c>
      <c r="M138" s="111"/>
      <c r="N138" s="111"/>
      <c r="O138" s="111"/>
      <c r="P138" s="111"/>
      <c r="Q138" s="111"/>
      <c r="R138" s="111"/>
      <c r="S138" s="111"/>
      <c r="T138" s="111"/>
      <c r="U138" s="111"/>
      <c r="V138" s="111"/>
      <c r="W138" s="111"/>
      <c r="X138" s="92" t="s">
        <v>91</v>
      </c>
      <c r="Y138" s="95" t="s">
        <v>185</v>
      </c>
      <c r="Z138" s="95"/>
      <c r="AA138" s="92" t="s">
        <v>91</v>
      </c>
      <c r="AB138" s="95" t="s">
        <v>185</v>
      </c>
      <c r="AC138" s="119"/>
      <c r="AD138" s="149">
        <v>1</v>
      </c>
    </row>
    <row r="139" spans="1:30" ht="60" hidden="1" customHeight="1" x14ac:dyDescent="0.3">
      <c r="A139" s="88">
        <v>138</v>
      </c>
      <c r="B139" s="121" t="s">
        <v>561</v>
      </c>
      <c r="C139" s="111"/>
      <c r="D139" s="113"/>
      <c r="E139" s="113" t="s">
        <v>621</v>
      </c>
      <c r="F139" s="95" t="s">
        <v>164</v>
      </c>
      <c r="G139" s="95" t="s">
        <v>34</v>
      </c>
      <c r="H139" s="88" t="s">
        <v>35</v>
      </c>
      <c r="I139" s="117" t="s">
        <v>622</v>
      </c>
      <c r="J139" s="88" t="s">
        <v>35</v>
      </c>
      <c r="K139" s="88" t="s">
        <v>38</v>
      </c>
      <c r="L139" s="111" t="s">
        <v>565</v>
      </c>
      <c r="M139" s="111"/>
      <c r="N139" s="111"/>
      <c r="O139" s="111"/>
      <c r="P139" s="111"/>
      <c r="Q139" s="111"/>
      <c r="R139" s="111"/>
      <c r="S139" s="111"/>
      <c r="T139" s="111"/>
      <c r="U139" s="111"/>
      <c r="V139" s="111"/>
      <c r="W139" s="111"/>
      <c r="X139" s="92" t="s">
        <v>79</v>
      </c>
      <c r="Y139" s="95" t="s">
        <v>79</v>
      </c>
      <c r="Z139" s="95"/>
      <c r="AA139" s="92" t="s">
        <v>79</v>
      </c>
      <c r="AB139" s="95" t="s">
        <v>79</v>
      </c>
      <c r="AC139" s="119"/>
      <c r="AD139" s="149">
        <v>1</v>
      </c>
    </row>
    <row r="140" spans="1:30" ht="75" hidden="1" customHeight="1" x14ac:dyDescent="0.3">
      <c r="A140" s="88">
        <v>139</v>
      </c>
      <c r="B140" s="121" t="s">
        <v>561</v>
      </c>
      <c r="C140" s="111"/>
      <c r="D140" s="113"/>
      <c r="E140" s="113" t="s">
        <v>592</v>
      </c>
      <c r="F140" s="95" t="s">
        <v>164</v>
      </c>
      <c r="G140" s="95" t="s">
        <v>34</v>
      </c>
      <c r="H140" s="88" t="s">
        <v>35</v>
      </c>
      <c r="I140" s="117" t="s">
        <v>623</v>
      </c>
      <c r="J140" s="88" t="s">
        <v>37</v>
      </c>
      <c r="K140" s="88" t="s">
        <v>38</v>
      </c>
      <c r="L140" s="111" t="s">
        <v>565</v>
      </c>
      <c r="M140" s="111"/>
      <c r="N140" s="111"/>
      <c r="O140" s="111"/>
      <c r="P140" s="111"/>
      <c r="Q140" s="111"/>
      <c r="R140" s="111"/>
      <c r="S140" s="111"/>
      <c r="T140" s="111"/>
      <c r="U140" s="111"/>
      <c r="V140" s="111"/>
      <c r="W140" s="111"/>
      <c r="X140" s="92" t="s">
        <v>91</v>
      </c>
      <c r="Y140" s="95" t="s">
        <v>79</v>
      </c>
      <c r="Z140" s="95"/>
      <c r="AA140" s="92" t="s">
        <v>91</v>
      </c>
      <c r="AB140" s="95" t="s">
        <v>79</v>
      </c>
      <c r="AC140" s="119"/>
      <c r="AD140" s="149">
        <v>1</v>
      </c>
    </row>
    <row r="141" spans="1:30" ht="90" hidden="1" customHeight="1" x14ac:dyDescent="0.3">
      <c r="A141" s="88">
        <v>140</v>
      </c>
      <c r="B141" s="121" t="s">
        <v>561</v>
      </c>
      <c r="C141" s="111"/>
      <c r="D141" s="113"/>
      <c r="E141" s="113" t="s">
        <v>624</v>
      </c>
      <c r="F141" s="95" t="s">
        <v>164</v>
      </c>
      <c r="G141" s="95" t="s">
        <v>34</v>
      </c>
      <c r="H141" s="88" t="s">
        <v>35</v>
      </c>
      <c r="I141" s="95" t="s">
        <v>625</v>
      </c>
      <c r="J141" s="88" t="s">
        <v>37</v>
      </c>
      <c r="K141" s="88" t="s">
        <v>38</v>
      </c>
      <c r="L141" s="111" t="s">
        <v>565</v>
      </c>
      <c r="M141" s="111"/>
      <c r="N141" s="111"/>
      <c r="O141" s="111"/>
      <c r="P141" s="111"/>
      <c r="Q141" s="111"/>
      <c r="R141" s="111"/>
      <c r="S141" s="111"/>
      <c r="T141" s="111"/>
      <c r="U141" s="111"/>
      <c r="V141" s="111"/>
      <c r="W141" s="111"/>
      <c r="X141" s="92" t="s">
        <v>91</v>
      </c>
      <c r="Y141" s="95" t="s">
        <v>91</v>
      </c>
      <c r="Z141" s="95"/>
      <c r="AA141" s="92" t="s">
        <v>91</v>
      </c>
      <c r="AB141" s="95" t="s">
        <v>91</v>
      </c>
      <c r="AC141" s="119"/>
      <c r="AD141" s="149">
        <v>1</v>
      </c>
    </row>
    <row r="142" spans="1:30" ht="120" customHeight="1" x14ac:dyDescent="0.3">
      <c r="A142" s="88">
        <v>141</v>
      </c>
      <c r="B142" s="121" t="s">
        <v>561</v>
      </c>
      <c r="C142" s="111">
        <v>8</v>
      </c>
      <c r="D142" s="113" t="s">
        <v>626</v>
      </c>
      <c r="E142" s="113" t="s">
        <v>627</v>
      </c>
      <c r="F142" s="95" t="s">
        <v>164</v>
      </c>
      <c r="G142" s="95" t="s">
        <v>34</v>
      </c>
      <c r="H142" s="88" t="s">
        <v>35</v>
      </c>
      <c r="I142" s="117" t="s">
        <v>628</v>
      </c>
      <c r="J142" s="88" t="s">
        <v>37</v>
      </c>
      <c r="K142" s="88" t="s">
        <v>38</v>
      </c>
      <c r="L142" s="111" t="s">
        <v>565</v>
      </c>
      <c r="M142" s="111"/>
      <c r="N142" s="111"/>
      <c r="O142" s="111"/>
      <c r="P142" s="111"/>
      <c r="Q142" s="111"/>
      <c r="R142" s="111"/>
      <c r="S142" s="111"/>
      <c r="T142" s="111"/>
      <c r="U142" s="111"/>
      <c r="V142" s="111"/>
      <c r="W142" s="111"/>
      <c r="X142" s="92" t="s">
        <v>91</v>
      </c>
      <c r="Y142" s="95" t="s">
        <v>91</v>
      </c>
      <c r="Z142" s="95"/>
      <c r="AA142" s="92" t="s">
        <v>91</v>
      </c>
      <c r="AB142" s="95" t="s">
        <v>91</v>
      </c>
      <c r="AC142" s="119"/>
      <c r="AD142" s="149">
        <v>1</v>
      </c>
    </row>
    <row r="143" spans="1:30" ht="210.75" hidden="1" customHeight="1" x14ac:dyDescent="0.3">
      <c r="A143" s="88">
        <v>142</v>
      </c>
      <c r="B143" s="121" t="s">
        <v>561</v>
      </c>
      <c r="C143" s="111"/>
      <c r="D143" s="113"/>
      <c r="E143" s="113" t="s">
        <v>454</v>
      </c>
      <c r="F143" s="95" t="s">
        <v>164</v>
      </c>
      <c r="G143" s="95" t="s">
        <v>34</v>
      </c>
      <c r="H143" s="88" t="s">
        <v>35</v>
      </c>
      <c r="I143" s="117" t="s">
        <v>629</v>
      </c>
      <c r="J143" s="88" t="s">
        <v>37</v>
      </c>
      <c r="K143" s="88" t="s">
        <v>38</v>
      </c>
      <c r="L143" s="111" t="s">
        <v>565</v>
      </c>
      <c r="M143" s="111"/>
      <c r="N143" s="111"/>
      <c r="O143" s="111"/>
      <c r="P143" s="111"/>
      <c r="Q143" s="121" t="s">
        <v>630</v>
      </c>
      <c r="R143" s="111"/>
      <c r="S143" s="95" t="s">
        <v>208</v>
      </c>
      <c r="T143" s="111"/>
      <c r="U143" s="111"/>
      <c r="V143" s="111"/>
      <c r="W143" s="111"/>
      <c r="X143" s="92" t="s">
        <v>43</v>
      </c>
      <c r="Y143" s="95" t="s">
        <v>43</v>
      </c>
      <c r="Z143" s="95"/>
      <c r="AA143" s="92" t="s">
        <v>43</v>
      </c>
      <c r="AB143" s="95" t="s">
        <v>43</v>
      </c>
      <c r="AC143" s="119"/>
      <c r="AD143" s="149">
        <v>1</v>
      </c>
    </row>
    <row r="144" spans="1:30" ht="120" hidden="1" customHeight="1" x14ac:dyDescent="0.3">
      <c r="A144" s="88">
        <v>143</v>
      </c>
      <c r="B144" s="121" t="s">
        <v>561</v>
      </c>
      <c r="C144" s="111"/>
      <c r="D144" s="113"/>
      <c r="E144" s="113" t="s">
        <v>631</v>
      </c>
      <c r="F144" s="95" t="s">
        <v>164</v>
      </c>
      <c r="G144" s="95" t="s">
        <v>34</v>
      </c>
      <c r="H144" s="88" t="s">
        <v>35</v>
      </c>
      <c r="I144" s="117" t="s">
        <v>632</v>
      </c>
      <c r="J144" s="88" t="s">
        <v>37</v>
      </c>
      <c r="K144" s="88" t="s">
        <v>38</v>
      </c>
      <c r="L144" s="111" t="s">
        <v>633</v>
      </c>
      <c r="M144" s="95" t="s">
        <v>197</v>
      </c>
      <c r="N144" s="95" t="s">
        <v>515</v>
      </c>
      <c r="O144" s="95" t="s">
        <v>271</v>
      </c>
      <c r="P144" s="111"/>
      <c r="Q144" s="111"/>
      <c r="R144" s="95" t="s">
        <v>62</v>
      </c>
      <c r="S144" s="88" t="s">
        <v>98</v>
      </c>
      <c r="T144" s="95" t="s">
        <v>153</v>
      </c>
      <c r="U144" s="111"/>
      <c r="V144" s="111"/>
      <c r="W144" s="111"/>
      <c r="X144" s="92" t="s">
        <v>91</v>
      </c>
      <c r="Y144" s="111" t="s">
        <v>43</v>
      </c>
      <c r="Z144" s="111"/>
      <c r="AA144" s="92" t="s">
        <v>91</v>
      </c>
      <c r="AB144" s="111" t="s">
        <v>43</v>
      </c>
      <c r="AC144" s="119"/>
      <c r="AD144" s="149">
        <v>1</v>
      </c>
    </row>
    <row r="145" spans="1:30" ht="120" hidden="1" customHeight="1" x14ac:dyDescent="0.3">
      <c r="A145" s="88">
        <v>144</v>
      </c>
      <c r="B145" s="121" t="s">
        <v>561</v>
      </c>
      <c r="C145" s="111"/>
      <c r="D145" s="113"/>
      <c r="E145" s="113" t="s">
        <v>634</v>
      </c>
      <c r="F145" s="95" t="s">
        <v>164</v>
      </c>
      <c r="G145" s="95" t="s">
        <v>34</v>
      </c>
      <c r="H145" s="88" t="s">
        <v>35</v>
      </c>
      <c r="I145" s="117" t="s">
        <v>635</v>
      </c>
      <c r="J145" s="88" t="s">
        <v>37</v>
      </c>
      <c r="K145" s="88" t="s">
        <v>145</v>
      </c>
      <c r="L145" s="111" t="s">
        <v>633</v>
      </c>
      <c r="M145" s="95" t="s">
        <v>54</v>
      </c>
      <c r="N145" s="95" t="s">
        <v>636</v>
      </c>
      <c r="O145" s="95" t="s">
        <v>271</v>
      </c>
      <c r="P145" s="111"/>
      <c r="Q145" s="111"/>
      <c r="R145" s="95" t="s">
        <v>61</v>
      </c>
      <c r="S145" s="88" t="s">
        <v>637</v>
      </c>
      <c r="T145" s="95" t="s">
        <v>153</v>
      </c>
      <c r="U145" s="111"/>
      <c r="V145" s="111"/>
      <c r="W145" s="111"/>
      <c r="X145" s="92" t="s">
        <v>79</v>
      </c>
      <c r="Y145" s="111" t="s">
        <v>43</v>
      </c>
      <c r="Z145" s="111"/>
      <c r="AA145" s="92" t="s">
        <v>79</v>
      </c>
      <c r="AB145" s="111" t="s">
        <v>43</v>
      </c>
      <c r="AC145" s="119"/>
      <c r="AD145" s="149">
        <v>1</v>
      </c>
    </row>
    <row r="146" spans="1:30" ht="135" hidden="1" customHeight="1" x14ac:dyDescent="0.3">
      <c r="A146" s="88">
        <v>145</v>
      </c>
      <c r="B146" s="121" t="s">
        <v>561</v>
      </c>
      <c r="C146" s="111"/>
      <c r="D146" s="113"/>
      <c r="E146" s="113" t="s">
        <v>638</v>
      </c>
      <c r="F146" s="95" t="s">
        <v>164</v>
      </c>
      <c r="G146" s="95" t="s">
        <v>34</v>
      </c>
      <c r="H146" s="88" t="s">
        <v>35</v>
      </c>
      <c r="I146" s="117" t="s">
        <v>639</v>
      </c>
      <c r="J146" s="88" t="s">
        <v>35</v>
      </c>
      <c r="K146" s="88" t="s">
        <v>38</v>
      </c>
      <c r="L146" s="111" t="s">
        <v>633</v>
      </c>
      <c r="M146" s="95" t="s">
        <v>54</v>
      </c>
      <c r="N146" s="95" t="s">
        <v>640</v>
      </c>
      <c r="O146" s="95" t="s">
        <v>271</v>
      </c>
      <c r="P146" s="111"/>
      <c r="Q146" s="111"/>
      <c r="R146" s="95" t="s">
        <v>57</v>
      </c>
      <c r="S146" s="88" t="s">
        <v>74</v>
      </c>
      <c r="T146" s="95" t="s">
        <v>61</v>
      </c>
      <c r="U146" s="111"/>
      <c r="V146" s="111"/>
      <c r="W146" s="111"/>
      <c r="X146" s="92" t="s">
        <v>75</v>
      </c>
      <c r="Y146" s="111" t="s">
        <v>43</v>
      </c>
      <c r="Z146" s="111"/>
      <c r="AA146" s="92" t="s">
        <v>75</v>
      </c>
      <c r="AB146" s="111" t="s">
        <v>43</v>
      </c>
      <c r="AC146" s="119"/>
      <c r="AD146" s="149">
        <v>1</v>
      </c>
    </row>
    <row r="147" spans="1:30" ht="96.75" customHeight="1" x14ac:dyDescent="0.3">
      <c r="A147" s="88">
        <v>146</v>
      </c>
      <c r="B147" s="121" t="s">
        <v>641</v>
      </c>
      <c r="C147" s="111">
        <v>1</v>
      </c>
      <c r="D147" s="113" t="s">
        <v>642</v>
      </c>
      <c r="E147" s="113" t="s">
        <v>643</v>
      </c>
      <c r="F147" s="95" t="s">
        <v>164</v>
      </c>
      <c r="G147" s="95" t="s">
        <v>34</v>
      </c>
      <c r="H147" s="88" t="s">
        <v>35</v>
      </c>
      <c r="I147" s="95" t="s">
        <v>644</v>
      </c>
      <c r="J147" s="88" t="s">
        <v>37</v>
      </c>
      <c r="K147" s="88" t="s">
        <v>38</v>
      </c>
      <c r="L147" s="111" t="s">
        <v>344</v>
      </c>
      <c r="M147" s="111"/>
      <c r="N147" s="111"/>
      <c r="O147" s="111"/>
      <c r="P147" s="111"/>
      <c r="Q147" s="111"/>
      <c r="R147" s="111"/>
      <c r="S147" s="88" t="s">
        <v>645</v>
      </c>
      <c r="T147" s="111"/>
      <c r="U147" s="111"/>
      <c r="V147" s="111"/>
      <c r="W147" s="111"/>
      <c r="X147" s="92" t="s">
        <v>79</v>
      </c>
      <c r="Y147" s="111" t="s">
        <v>43</v>
      </c>
      <c r="Z147" s="111"/>
      <c r="AA147" s="92" t="s">
        <v>79</v>
      </c>
      <c r="AB147" s="111" t="s">
        <v>43</v>
      </c>
      <c r="AC147" s="119"/>
      <c r="AD147" s="149">
        <v>1</v>
      </c>
    </row>
    <row r="148" spans="1:30" ht="120" hidden="1" customHeight="1" x14ac:dyDescent="0.3">
      <c r="A148" s="88">
        <v>147</v>
      </c>
      <c r="B148" s="121" t="s">
        <v>641</v>
      </c>
      <c r="C148" s="111"/>
      <c r="D148" s="115"/>
      <c r="E148" s="113" t="s">
        <v>646</v>
      </c>
      <c r="F148" s="95" t="s">
        <v>164</v>
      </c>
      <c r="G148" s="95" t="s">
        <v>34</v>
      </c>
      <c r="H148" s="88" t="s">
        <v>35</v>
      </c>
      <c r="I148" s="111" t="s">
        <v>647</v>
      </c>
      <c r="J148" s="88" t="s">
        <v>37</v>
      </c>
      <c r="K148" s="88" t="s">
        <v>38</v>
      </c>
      <c r="L148" s="111" t="s">
        <v>648</v>
      </c>
      <c r="M148" s="111"/>
      <c r="N148" s="111"/>
      <c r="O148" s="111"/>
      <c r="P148" s="111"/>
      <c r="Q148" s="111"/>
      <c r="R148" s="111"/>
      <c r="S148" s="95" t="s">
        <v>649</v>
      </c>
      <c r="T148" s="111"/>
      <c r="U148" s="111"/>
      <c r="V148" s="111"/>
      <c r="W148" s="111"/>
      <c r="X148" s="92" t="s">
        <v>79</v>
      </c>
      <c r="Y148" s="111" t="s">
        <v>43</v>
      </c>
      <c r="Z148" s="111"/>
      <c r="AA148" s="92" t="s">
        <v>79</v>
      </c>
      <c r="AB148" s="111" t="s">
        <v>43</v>
      </c>
      <c r="AC148" s="119"/>
      <c r="AD148" s="149">
        <v>1</v>
      </c>
    </row>
    <row r="149" spans="1:30" ht="60" customHeight="1" x14ac:dyDescent="0.3">
      <c r="A149" s="88">
        <v>148</v>
      </c>
      <c r="B149" s="121" t="s">
        <v>641</v>
      </c>
      <c r="C149" s="111">
        <v>2</v>
      </c>
      <c r="D149" s="113" t="s">
        <v>453</v>
      </c>
      <c r="E149" s="113" t="s">
        <v>104</v>
      </c>
      <c r="F149" s="95" t="s">
        <v>164</v>
      </c>
      <c r="G149" s="95" t="s">
        <v>34</v>
      </c>
      <c r="H149" s="88" t="s">
        <v>35</v>
      </c>
      <c r="I149" s="95" t="s">
        <v>644</v>
      </c>
      <c r="J149" s="88" t="s">
        <v>37</v>
      </c>
      <c r="K149" s="88" t="s">
        <v>38</v>
      </c>
      <c r="L149" s="128"/>
      <c r="M149" s="111"/>
      <c r="N149" s="111"/>
      <c r="O149" s="111"/>
      <c r="P149" s="111"/>
      <c r="Q149" s="111"/>
      <c r="R149" s="111"/>
      <c r="S149" s="111"/>
      <c r="T149" s="111"/>
      <c r="U149" s="111"/>
      <c r="V149" s="111"/>
      <c r="W149" s="111"/>
      <c r="X149" s="92" t="s">
        <v>79</v>
      </c>
      <c r="Y149" s="95" t="s">
        <v>43</v>
      </c>
      <c r="Z149" s="95"/>
      <c r="AA149" s="92" t="s">
        <v>79</v>
      </c>
      <c r="AB149" s="95" t="s">
        <v>43</v>
      </c>
      <c r="AC149" s="119"/>
      <c r="AD149" s="149">
        <v>1</v>
      </c>
    </row>
    <row r="150" spans="1:30" ht="60" hidden="1" customHeight="1" x14ac:dyDescent="0.3">
      <c r="A150" s="88">
        <v>149</v>
      </c>
      <c r="B150" s="121" t="s">
        <v>641</v>
      </c>
      <c r="C150" s="111"/>
      <c r="D150" s="113"/>
      <c r="E150" s="113" t="s">
        <v>650</v>
      </c>
      <c r="F150" s="95" t="s">
        <v>164</v>
      </c>
      <c r="G150" s="95" t="s">
        <v>34</v>
      </c>
      <c r="H150" s="88" t="s">
        <v>35</v>
      </c>
      <c r="I150" s="95" t="s">
        <v>651</v>
      </c>
      <c r="J150" s="88" t="s">
        <v>35</v>
      </c>
      <c r="K150" s="88" t="s">
        <v>38</v>
      </c>
      <c r="L150" s="128"/>
      <c r="M150" s="111"/>
      <c r="N150" s="111"/>
      <c r="O150" s="111"/>
      <c r="P150" s="111"/>
      <c r="Q150" s="111"/>
      <c r="R150" s="111"/>
      <c r="S150" s="111"/>
      <c r="T150" s="111"/>
      <c r="U150" s="111"/>
      <c r="V150" s="111"/>
      <c r="W150" s="111"/>
      <c r="X150" s="92" t="s">
        <v>91</v>
      </c>
      <c r="Y150" s="88" t="s">
        <v>79</v>
      </c>
      <c r="Z150" s="88"/>
      <c r="AA150" s="92" t="s">
        <v>91</v>
      </c>
      <c r="AB150" s="88" t="s">
        <v>79</v>
      </c>
      <c r="AC150" s="119"/>
      <c r="AD150" s="149">
        <v>1</v>
      </c>
    </row>
    <row r="151" spans="1:30" ht="45" customHeight="1" x14ac:dyDescent="0.3">
      <c r="A151" s="88">
        <v>150</v>
      </c>
      <c r="B151" s="121" t="s">
        <v>641</v>
      </c>
      <c r="C151" s="111">
        <v>3</v>
      </c>
      <c r="D151" s="113" t="s">
        <v>652</v>
      </c>
      <c r="E151" s="113" t="s">
        <v>653</v>
      </c>
      <c r="F151" s="95" t="s">
        <v>164</v>
      </c>
      <c r="G151" s="95" t="s">
        <v>34</v>
      </c>
      <c r="H151" s="88" t="s">
        <v>35</v>
      </c>
      <c r="I151" s="95" t="s">
        <v>647</v>
      </c>
      <c r="J151" s="88" t="s">
        <v>35</v>
      </c>
      <c r="K151" s="88" t="s">
        <v>38</v>
      </c>
      <c r="L151" s="128"/>
      <c r="M151" s="111"/>
      <c r="N151" s="111"/>
      <c r="O151" s="111"/>
      <c r="P151" s="111"/>
      <c r="Q151" s="111"/>
      <c r="R151" s="111"/>
      <c r="S151" s="111"/>
      <c r="T151" s="111"/>
      <c r="U151" s="111"/>
      <c r="V151" s="111"/>
      <c r="W151" s="111"/>
      <c r="X151" s="92" t="s">
        <v>79</v>
      </c>
      <c r="Y151" s="88" t="s">
        <v>79</v>
      </c>
      <c r="Z151" s="88"/>
      <c r="AA151" s="92" t="s">
        <v>79</v>
      </c>
      <c r="AB151" s="88" t="s">
        <v>79</v>
      </c>
      <c r="AC151" s="119"/>
      <c r="AD151" s="149">
        <v>1</v>
      </c>
    </row>
    <row r="152" spans="1:30" ht="45" hidden="1" customHeight="1" x14ac:dyDescent="0.3">
      <c r="A152" s="88">
        <v>151</v>
      </c>
      <c r="B152" s="121" t="s">
        <v>641</v>
      </c>
      <c r="C152" s="111"/>
      <c r="D152" s="113"/>
      <c r="E152" s="113" t="s">
        <v>654</v>
      </c>
      <c r="F152" s="95" t="s">
        <v>164</v>
      </c>
      <c r="G152" s="95" t="s">
        <v>34</v>
      </c>
      <c r="H152" s="88" t="s">
        <v>35</v>
      </c>
      <c r="I152" s="95" t="s">
        <v>647</v>
      </c>
      <c r="J152" s="88" t="s">
        <v>35</v>
      </c>
      <c r="K152" s="88" t="s">
        <v>38</v>
      </c>
      <c r="L152" s="128"/>
      <c r="M152" s="111"/>
      <c r="N152" s="111"/>
      <c r="O152" s="111"/>
      <c r="P152" s="111"/>
      <c r="Q152" s="111"/>
      <c r="R152" s="111"/>
      <c r="S152" s="111"/>
      <c r="T152" s="111"/>
      <c r="U152" s="111"/>
      <c r="V152" s="111"/>
      <c r="W152" s="111"/>
      <c r="X152" s="92" t="s">
        <v>79</v>
      </c>
      <c r="Y152" s="88" t="s">
        <v>75</v>
      </c>
      <c r="Z152" s="88"/>
      <c r="AA152" s="92" t="s">
        <v>79</v>
      </c>
      <c r="AB152" s="88" t="s">
        <v>75</v>
      </c>
      <c r="AC152" s="119"/>
      <c r="AD152" s="149">
        <v>1</v>
      </c>
    </row>
    <row r="153" spans="1:30" ht="96.75" customHeight="1" x14ac:dyDescent="0.3">
      <c r="A153" s="88">
        <v>152</v>
      </c>
      <c r="B153" s="121" t="s">
        <v>641</v>
      </c>
      <c r="C153" s="111">
        <v>4</v>
      </c>
      <c r="D153" s="113" t="s">
        <v>81</v>
      </c>
      <c r="E153" s="113" t="s">
        <v>655</v>
      </c>
      <c r="F153" s="95" t="s">
        <v>656</v>
      </c>
      <c r="G153" s="95" t="s">
        <v>34</v>
      </c>
      <c r="H153" s="88" t="s">
        <v>37</v>
      </c>
      <c r="I153" s="95" t="s">
        <v>657</v>
      </c>
      <c r="J153" s="88" t="s">
        <v>37</v>
      </c>
      <c r="K153" s="88" t="s">
        <v>38</v>
      </c>
      <c r="L153" s="128"/>
      <c r="M153" s="111"/>
      <c r="N153" s="111"/>
      <c r="O153" s="111"/>
      <c r="P153" s="111"/>
      <c r="Q153" s="111"/>
      <c r="R153" s="111"/>
      <c r="S153" s="111"/>
      <c r="T153" s="111"/>
      <c r="U153" s="111"/>
      <c r="V153" s="111"/>
      <c r="W153" s="111"/>
      <c r="X153" s="92" t="s">
        <v>79</v>
      </c>
      <c r="Y153" s="88" t="s">
        <v>79</v>
      </c>
      <c r="Z153" s="88"/>
      <c r="AA153" s="92" t="s">
        <v>79</v>
      </c>
      <c r="AB153" s="88" t="s">
        <v>79</v>
      </c>
      <c r="AC153" s="119"/>
      <c r="AD153" s="149">
        <v>1</v>
      </c>
    </row>
    <row r="154" spans="1:30" ht="70.5" customHeight="1" x14ac:dyDescent="0.3">
      <c r="A154" s="88">
        <v>153</v>
      </c>
      <c r="B154" s="121" t="s">
        <v>641</v>
      </c>
      <c r="C154" s="111">
        <v>5</v>
      </c>
      <c r="D154" s="113" t="s">
        <v>658</v>
      </c>
      <c r="E154" s="113" t="s">
        <v>659</v>
      </c>
      <c r="F154" s="95" t="s">
        <v>660</v>
      </c>
      <c r="G154" s="95" t="s">
        <v>34</v>
      </c>
      <c r="H154" s="88" t="s">
        <v>35</v>
      </c>
      <c r="I154" s="95" t="s">
        <v>661</v>
      </c>
      <c r="J154" s="88" t="s">
        <v>35</v>
      </c>
      <c r="K154" s="88" t="s">
        <v>145</v>
      </c>
      <c r="L154" s="128"/>
      <c r="M154" s="111"/>
      <c r="N154" s="111"/>
      <c r="O154" s="111"/>
      <c r="P154" s="111"/>
      <c r="Q154" s="111"/>
      <c r="R154" s="111"/>
      <c r="S154" s="111"/>
      <c r="T154" s="111"/>
      <c r="U154" s="111"/>
      <c r="V154" s="111"/>
      <c r="W154" s="111"/>
      <c r="X154" s="92" t="s">
        <v>79</v>
      </c>
      <c r="Y154" s="88" t="s">
        <v>79</v>
      </c>
      <c r="Z154" s="88"/>
      <c r="AA154" s="92" t="s">
        <v>79</v>
      </c>
      <c r="AB154" s="88" t="s">
        <v>79</v>
      </c>
      <c r="AC154" s="119"/>
      <c r="AD154" s="149">
        <v>1</v>
      </c>
    </row>
    <row r="155" spans="1:30" ht="82.5" hidden="1" customHeight="1" x14ac:dyDescent="0.3">
      <c r="A155" s="88">
        <v>154</v>
      </c>
      <c r="B155" s="121" t="s">
        <v>641</v>
      </c>
      <c r="C155" s="111"/>
      <c r="D155" s="113"/>
      <c r="E155" s="113" t="s">
        <v>662</v>
      </c>
      <c r="F155" s="95" t="s">
        <v>663</v>
      </c>
      <c r="G155" s="95" t="s">
        <v>34</v>
      </c>
      <c r="H155" s="88" t="s">
        <v>35</v>
      </c>
      <c r="I155" s="95" t="s">
        <v>661</v>
      </c>
      <c r="J155" s="88" t="s">
        <v>37</v>
      </c>
      <c r="K155" s="88" t="s">
        <v>145</v>
      </c>
      <c r="L155" s="128"/>
      <c r="M155" s="111"/>
      <c r="N155" s="111"/>
      <c r="O155" s="111"/>
      <c r="P155" s="111"/>
      <c r="Q155" s="111"/>
      <c r="R155" s="111"/>
      <c r="S155" s="111"/>
      <c r="T155" s="111"/>
      <c r="U155" s="111"/>
      <c r="V155" s="111"/>
      <c r="W155" s="111"/>
      <c r="X155" s="92" t="s">
        <v>185</v>
      </c>
      <c r="Y155" s="88" t="s">
        <v>79</v>
      </c>
      <c r="Z155" s="88"/>
      <c r="AA155" s="92" t="s">
        <v>185</v>
      </c>
      <c r="AB155" s="88" t="s">
        <v>79</v>
      </c>
      <c r="AC155" s="119"/>
      <c r="AD155" s="149">
        <v>1</v>
      </c>
    </row>
    <row r="156" spans="1:30" ht="75" hidden="1" customHeight="1" x14ac:dyDescent="0.3">
      <c r="A156" s="88">
        <v>155</v>
      </c>
      <c r="B156" s="121" t="s">
        <v>641</v>
      </c>
      <c r="C156" s="111"/>
      <c r="D156" s="115"/>
      <c r="E156" s="113" t="s">
        <v>664</v>
      </c>
      <c r="F156" s="95" t="s">
        <v>665</v>
      </c>
      <c r="G156" s="95" t="s">
        <v>34</v>
      </c>
      <c r="H156" s="88" t="s">
        <v>35</v>
      </c>
      <c r="I156" s="95" t="s">
        <v>661</v>
      </c>
      <c r="J156" s="88" t="s">
        <v>37</v>
      </c>
      <c r="K156" s="88" t="s">
        <v>38</v>
      </c>
      <c r="L156" s="128"/>
      <c r="M156" s="111"/>
      <c r="N156" s="111"/>
      <c r="O156" s="111"/>
      <c r="P156" s="111"/>
      <c r="Q156" s="111"/>
      <c r="R156" s="111"/>
      <c r="S156" s="111"/>
      <c r="T156" s="111"/>
      <c r="U156" s="111"/>
      <c r="V156" s="111"/>
      <c r="W156" s="111"/>
      <c r="X156" s="92" t="s">
        <v>79</v>
      </c>
      <c r="Y156" s="88" t="s">
        <v>91</v>
      </c>
      <c r="Z156" s="88"/>
      <c r="AA156" s="92" t="s">
        <v>79</v>
      </c>
      <c r="AB156" s="88" t="s">
        <v>91</v>
      </c>
      <c r="AC156" s="119"/>
      <c r="AD156" s="149">
        <v>1</v>
      </c>
    </row>
    <row r="157" spans="1:30" ht="77.25" hidden="1" customHeight="1" x14ac:dyDescent="0.3">
      <c r="A157" s="88">
        <v>156</v>
      </c>
      <c r="B157" s="121" t="s">
        <v>641</v>
      </c>
      <c r="C157" s="111"/>
      <c r="D157" s="113"/>
      <c r="E157" s="113" t="s">
        <v>666</v>
      </c>
      <c r="F157" s="95" t="s">
        <v>667</v>
      </c>
      <c r="G157" s="95" t="s">
        <v>34</v>
      </c>
      <c r="H157" s="88" t="s">
        <v>35</v>
      </c>
      <c r="I157" s="95" t="s">
        <v>661</v>
      </c>
      <c r="J157" s="88" t="s">
        <v>35</v>
      </c>
      <c r="K157" s="88" t="s">
        <v>145</v>
      </c>
      <c r="L157" s="128"/>
      <c r="M157" s="111"/>
      <c r="N157" s="111"/>
      <c r="O157" s="111"/>
      <c r="P157" s="111"/>
      <c r="Q157" s="111"/>
      <c r="R157" s="111"/>
      <c r="S157" s="111"/>
      <c r="T157" s="111"/>
      <c r="U157" s="111"/>
      <c r="V157" s="111"/>
      <c r="W157" s="111"/>
      <c r="X157" s="92" t="s">
        <v>75</v>
      </c>
      <c r="Y157" s="88" t="s">
        <v>79</v>
      </c>
      <c r="Z157" s="88"/>
      <c r="AA157" s="92" t="s">
        <v>75</v>
      </c>
      <c r="AB157" s="88" t="s">
        <v>79</v>
      </c>
      <c r="AC157" s="119"/>
      <c r="AD157" s="149">
        <v>1</v>
      </c>
    </row>
    <row r="158" spans="1:30" ht="78.75" customHeight="1" x14ac:dyDescent="0.3">
      <c r="A158" s="88">
        <v>157</v>
      </c>
      <c r="B158" s="121" t="s">
        <v>641</v>
      </c>
      <c r="C158" s="111">
        <v>6</v>
      </c>
      <c r="D158" s="113" t="s">
        <v>200</v>
      </c>
      <c r="E158" s="113" t="s">
        <v>668</v>
      </c>
      <c r="F158" s="95" t="s">
        <v>669</v>
      </c>
      <c r="G158" s="95" t="s">
        <v>34</v>
      </c>
      <c r="H158" s="88" t="s">
        <v>35</v>
      </c>
      <c r="I158" s="95" t="s">
        <v>661</v>
      </c>
      <c r="J158" s="88" t="s">
        <v>35</v>
      </c>
      <c r="K158" s="88" t="s">
        <v>38</v>
      </c>
      <c r="L158" s="128"/>
      <c r="M158" s="111"/>
      <c r="N158" s="111"/>
      <c r="O158" s="111"/>
      <c r="P158" s="111"/>
      <c r="Q158" s="111"/>
      <c r="R158" s="111"/>
      <c r="S158" s="111"/>
      <c r="T158" s="111"/>
      <c r="U158" s="111"/>
      <c r="V158" s="111"/>
      <c r="W158" s="111"/>
      <c r="X158" s="92" t="s">
        <v>91</v>
      </c>
      <c r="Y158" s="88" t="s">
        <v>79</v>
      </c>
      <c r="Z158" s="88"/>
      <c r="AA158" s="92" t="s">
        <v>91</v>
      </c>
      <c r="AB158" s="88" t="s">
        <v>79</v>
      </c>
      <c r="AC158" s="119"/>
      <c r="AD158" s="149">
        <v>1</v>
      </c>
    </row>
    <row r="159" spans="1:30" ht="117.75" hidden="1" customHeight="1" x14ac:dyDescent="0.3">
      <c r="A159" s="88">
        <v>158</v>
      </c>
      <c r="B159" s="121" t="s">
        <v>641</v>
      </c>
      <c r="C159" s="111"/>
      <c r="D159" s="113"/>
      <c r="E159" s="113" t="s">
        <v>670</v>
      </c>
      <c r="F159" s="95" t="s">
        <v>671</v>
      </c>
      <c r="G159" s="95" t="s">
        <v>34</v>
      </c>
      <c r="H159" s="88" t="s">
        <v>35</v>
      </c>
      <c r="I159" s="95" t="s">
        <v>661</v>
      </c>
      <c r="J159" s="88" t="s">
        <v>35</v>
      </c>
      <c r="K159" s="88" t="s">
        <v>38</v>
      </c>
      <c r="L159" s="128"/>
      <c r="M159" s="111"/>
      <c r="N159" s="111"/>
      <c r="O159" s="111"/>
      <c r="P159" s="111"/>
      <c r="Q159" s="111"/>
      <c r="R159" s="111"/>
      <c r="S159" s="111"/>
      <c r="T159" s="111"/>
      <c r="U159" s="111"/>
      <c r="V159" s="111"/>
      <c r="W159" s="111"/>
      <c r="X159" s="92" t="s">
        <v>79</v>
      </c>
      <c r="Y159" s="88" t="s">
        <v>91</v>
      </c>
      <c r="Z159" s="88"/>
      <c r="AA159" s="92" t="s">
        <v>79</v>
      </c>
      <c r="AB159" s="88" t="s">
        <v>91</v>
      </c>
      <c r="AC159" s="119"/>
      <c r="AD159" s="149">
        <v>1</v>
      </c>
    </row>
    <row r="160" spans="1:30" ht="61.5" customHeight="1" x14ac:dyDescent="0.3">
      <c r="A160" s="88">
        <v>159</v>
      </c>
      <c r="B160" s="121" t="s">
        <v>641</v>
      </c>
      <c r="C160" s="111">
        <v>7</v>
      </c>
      <c r="D160" s="116" t="s">
        <v>596</v>
      </c>
      <c r="E160" s="115"/>
      <c r="F160" s="95" t="s">
        <v>672</v>
      </c>
      <c r="G160" s="95" t="s">
        <v>34</v>
      </c>
      <c r="H160" s="88" t="s">
        <v>35</v>
      </c>
      <c r="I160" s="95" t="s">
        <v>673</v>
      </c>
      <c r="J160" s="88" t="s">
        <v>37</v>
      </c>
      <c r="K160" s="88" t="s">
        <v>38</v>
      </c>
      <c r="L160" s="128"/>
      <c r="M160" s="111"/>
      <c r="N160" s="111"/>
      <c r="O160" s="111"/>
      <c r="P160" s="111"/>
      <c r="Q160" s="111"/>
      <c r="R160" s="111"/>
      <c r="S160" s="111"/>
      <c r="T160" s="111"/>
      <c r="U160" s="111"/>
      <c r="V160" s="111"/>
      <c r="W160" s="111"/>
      <c r="X160" s="92" t="s">
        <v>43</v>
      </c>
      <c r="Y160" s="88" t="s">
        <v>91</v>
      </c>
      <c r="Z160" s="88"/>
      <c r="AA160" s="92" t="s">
        <v>43</v>
      </c>
      <c r="AB160" s="88" t="s">
        <v>91</v>
      </c>
      <c r="AC160" s="119"/>
      <c r="AD160" s="149">
        <v>1</v>
      </c>
    </row>
    <row r="161" spans="1:30" ht="90" customHeight="1" x14ac:dyDescent="0.3">
      <c r="A161" s="88">
        <v>160</v>
      </c>
      <c r="B161" s="121" t="s">
        <v>641</v>
      </c>
      <c r="C161" s="111">
        <v>8</v>
      </c>
      <c r="D161" s="113" t="s">
        <v>674</v>
      </c>
      <c r="E161" s="113" t="s">
        <v>675</v>
      </c>
      <c r="F161" s="95" t="s">
        <v>672</v>
      </c>
      <c r="G161" s="95" t="s">
        <v>34</v>
      </c>
      <c r="H161" s="88" t="s">
        <v>35</v>
      </c>
      <c r="I161" s="95" t="s">
        <v>644</v>
      </c>
      <c r="J161" s="88" t="s">
        <v>35</v>
      </c>
      <c r="K161" s="88" t="s">
        <v>38</v>
      </c>
      <c r="L161" s="128"/>
      <c r="M161" s="111"/>
      <c r="N161" s="111"/>
      <c r="O161" s="111"/>
      <c r="P161" s="111"/>
      <c r="Q161" s="111"/>
      <c r="R161" s="111"/>
      <c r="S161" s="111"/>
      <c r="T161" s="111"/>
      <c r="U161" s="111"/>
      <c r="V161" s="111"/>
      <c r="W161" s="111"/>
      <c r="X161" s="92" t="s">
        <v>79</v>
      </c>
      <c r="Y161" s="88" t="s">
        <v>43</v>
      </c>
      <c r="Z161" s="88"/>
      <c r="AA161" s="92" t="s">
        <v>79</v>
      </c>
      <c r="AB161" s="88" t="s">
        <v>43</v>
      </c>
      <c r="AC161" s="119"/>
      <c r="AD161" s="149">
        <v>1</v>
      </c>
    </row>
    <row r="162" spans="1:30" ht="76.5" hidden="1" customHeight="1" x14ac:dyDescent="0.3">
      <c r="A162" s="88">
        <v>161</v>
      </c>
      <c r="B162" s="121" t="s">
        <v>641</v>
      </c>
      <c r="C162" s="111"/>
      <c r="D162" s="113"/>
      <c r="E162" s="113" t="s">
        <v>616</v>
      </c>
      <c r="F162" s="95" t="s">
        <v>672</v>
      </c>
      <c r="G162" s="95" t="s">
        <v>34</v>
      </c>
      <c r="H162" s="88" t="s">
        <v>35</v>
      </c>
      <c r="I162" s="95" t="s">
        <v>676</v>
      </c>
      <c r="J162" s="88" t="s">
        <v>35</v>
      </c>
      <c r="K162" s="88" t="s">
        <v>38</v>
      </c>
      <c r="L162" s="128"/>
      <c r="M162" s="111"/>
      <c r="N162" s="111"/>
      <c r="O162" s="111"/>
      <c r="P162" s="111"/>
      <c r="Q162" s="111"/>
      <c r="R162" s="111"/>
      <c r="S162" s="111"/>
      <c r="T162" s="111"/>
      <c r="U162" s="111"/>
      <c r="V162" s="111"/>
      <c r="W162" s="111"/>
      <c r="X162" s="92" t="s">
        <v>91</v>
      </c>
      <c r="Y162" s="88" t="s">
        <v>79</v>
      </c>
      <c r="Z162" s="88"/>
      <c r="AA162" s="92" t="s">
        <v>91</v>
      </c>
      <c r="AB162" s="88" t="s">
        <v>79</v>
      </c>
      <c r="AC162" s="119"/>
      <c r="AD162" s="149">
        <v>1</v>
      </c>
    </row>
    <row r="163" spans="1:30" ht="73.5" hidden="1" customHeight="1" x14ac:dyDescent="0.3">
      <c r="A163" s="88">
        <v>162</v>
      </c>
      <c r="B163" s="121" t="s">
        <v>641</v>
      </c>
      <c r="C163" s="111"/>
      <c r="D163" s="113"/>
      <c r="E163" s="113" t="s">
        <v>677</v>
      </c>
      <c r="F163" s="95" t="s">
        <v>672</v>
      </c>
      <c r="G163" s="95" t="s">
        <v>34</v>
      </c>
      <c r="H163" s="88" t="s">
        <v>35</v>
      </c>
      <c r="I163" s="95" t="s">
        <v>678</v>
      </c>
      <c r="J163" s="88" t="s">
        <v>35</v>
      </c>
      <c r="K163" s="88" t="s">
        <v>38</v>
      </c>
      <c r="L163" s="128"/>
      <c r="M163" s="111"/>
      <c r="N163" s="111"/>
      <c r="O163" s="111"/>
      <c r="P163" s="111"/>
      <c r="Q163" s="111"/>
      <c r="R163" s="111"/>
      <c r="S163" s="111"/>
      <c r="T163" s="111"/>
      <c r="U163" s="111"/>
      <c r="V163" s="111"/>
      <c r="W163" s="111"/>
      <c r="X163" s="92" t="s">
        <v>185</v>
      </c>
      <c r="Y163" s="88" t="s">
        <v>185</v>
      </c>
      <c r="Z163" s="88"/>
      <c r="AA163" s="92" t="s">
        <v>185</v>
      </c>
      <c r="AB163" s="88" t="s">
        <v>185</v>
      </c>
      <c r="AC163" s="119"/>
      <c r="AD163" s="149">
        <v>1</v>
      </c>
    </row>
    <row r="164" spans="1:30" ht="71.25" customHeight="1" x14ac:dyDescent="0.3">
      <c r="A164" s="88">
        <v>163</v>
      </c>
      <c r="B164" s="121" t="s">
        <v>641</v>
      </c>
      <c r="C164" s="111">
        <v>9</v>
      </c>
      <c r="D164" s="113" t="s">
        <v>679</v>
      </c>
      <c r="E164" s="115"/>
      <c r="F164" s="95" t="s">
        <v>680</v>
      </c>
      <c r="G164" s="95" t="s">
        <v>34</v>
      </c>
      <c r="H164" s="88" t="s">
        <v>37</v>
      </c>
      <c r="I164" s="111" t="s">
        <v>661</v>
      </c>
      <c r="J164" s="88" t="s">
        <v>35</v>
      </c>
      <c r="K164" s="88" t="s">
        <v>38</v>
      </c>
      <c r="L164" s="128"/>
      <c r="M164" s="111"/>
      <c r="N164" s="111"/>
      <c r="O164" s="111"/>
      <c r="P164" s="111"/>
      <c r="Q164" s="111"/>
      <c r="R164" s="111"/>
      <c r="S164" s="111"/>
      <c r="T164" s="111"/>
      <c r="U164" s="111"/>
      <c r="V164" s="111"/>
      <c r="W164" s="111"/>
      <c r="X164" s="92" t="s">
        <v>91</v>
      </c>
      <c r="Y164" s="88" t="s">
        <v>79</v>
      </c>
      <c r="Z164" s="88"/>
      <c r="AA164" s="92" t="s">
        <v>91</v>
      </c>
      <c r="AB164" s="88" t="s">
        <v>79</v>
      </c>
      <c r="AC164" s="119"/>
      <c r="AD164" s="149">
        <v>1</v>
      </c>
    </row>
    <row r="165" spans="1:30" ht="107.25" customHeight="1" x14ac:dyDescent="0.3">
      <c r="A165" s="88">
        <v>164</v>
      </c>
      <c r="B165" s="121" t="s">
        <v>681</v>
      </c>
      <c r="C165" s="111">
        <v>3</v>
      </c>
      <c r="D165" s="113" t="s">
        <v>682</v>
      </c>
      <c r="E165" s="113"/>
      <c r="F165" s="95" t="s">
        <v>683</v>
      </c>
      <c r="G165" s="95" t="s">
        <v>34</v>
      </c>
      <c r="H165" s="88" t="s">
        <v>35</v>
      </c>
      <c r="I165" s="111" t="s">
        <v>513</v>
      </c>
      <c r="J165" s="88" t="s">
        <v>35</v>
      </c>
      <c r="K165" s="88" t="s">
        <v>38</v>
      </c>
      <c r="L165" s="111" t="s">
        <v>335</v>
      </c>
      <c r="M165" s="111"/>
      <c r="N165" s="111"/>
      <c r="O165" s="111"/>
      <c r="P165" s="111"/>
      <c r="Q165" s="111"/>
      <c r="R165" s="111"/>
      <c r="S165" s="111" t="s">
        <v>304</v>
      </c>
      <c r="T165" s="111"/>
      <c r="U165" s="111"/>
      <c r="V165" s="111"/>
      <c r="W165" s="111"/>
      <c r="X165" s="92" t="s">
        <v>42</v>
      </c>
      <c r="Y165" s="111" t="s">
        <v>42</v>
      </c>
      <c r="Z165" s="111"/>
      <c r="AA165" s="92" t="s">
        <v>42</v>
      </c>
      <c r="AB165" s="111" t="s">
        <v>42</v>
      </c>
      <c r="AC165" s="119"/>
      <c r="AD165" s="149">
        <v>1</v>
      </c>
    </row>
    <row r="166" spans="1:30" ht="67.5" customHeight="1" x14ac:dyDescent="0.3">
      <c r="A166" s="88">
        <v>165</v>
      </c>
      <c r="B166" s="121" t="s">
        <v>681</v>
      </c>
      <c r="C166" s="111">
        <v>6</v>
      </c>
      <c r="D166" s="113" t="s">
        <v>684</v>
      </c>
      <c r="E166" s="115"/>
      <c r="F166" s="95" t="s">
        <v>683</v>
      </c>
      <c r="G166" s="95" t="s">
        <v>34</v>
      </c>
      <c r="H166" s="88" t="s">
        <v>37</v>
      </c>
      <c r="I166" s="111" t="s">
        <v>513</v>
      </c>
      <c r="J166" s="88" t="s">
        <v>35</v>
      </c>
      <c r="K166" s="88" t="s">
        <v>38</v>
      </c>
      <c r="L166" s="111" t="s">
        <v>53</v>
      </c>
      <c r="M166" s="111"/>
      <c r="N166" s="111"/>
      <c r="O166" s="111"/>
      <c r="P166" s="111"/>
      <c r="Q166" s="113" t="s">
        <v>74</v>
      </c>
      <c r="R166" s="111"/>
      <c r="S166" s="111"/>
      <c r="T166" s="111"/>
      <c r="U166" s="111"/>
      <c r="V166" s="111"/>
      <c r="W166" s="111"/>
      <c r="X166" s="92" t="s">
        <v>43</v>
      </c>
      <c r="Y166" s="111" t="s">
        <v>79</v>
      </c>
      <c r="Z166" s="111"/>
      <c r="AA166" s="92" t="s">
        <v>43</v>
      </c>
      <c r="AB166" s="111" t="s">
        <v>79</v>
      </c>
      <c r="AC166" s="119"/>
      <c r="AD166" s="149">
        <v>1</v>
      </c>
    </row>
    <row r="167" spans="1:30" ht="60" hidden="1" customHeight="1" x14ac:dyDescent="0.3">
      <c r="A167" s="88">
        <v>166</v>
      </c>
      <c r="B167" s="121" t="s">
        <v>685</v>
      </c>
      <c r="C167" s="95" t="s">
        <v>686</v>
      </c>
      <c r="D167" s="113" t="s">
        <v>687</v>
      </c>
      <c r="E167" s="113" t="s">
        <v>562</v>
      </c>
      <c r="F167" s="95" t="s">
        <v>525</v>
      </c>
      <c r="G167" s="95" t="s">
        <v>34</v>
      </c>
      <c r="H167" s="88" t="s">
        <v>35</v>
      </c>
      <c r="I167" s="129" t="s">
        <v>688</v>
      </c>
      <c r="J167" s="88" t="s">
        <v>37</v>
      </c>
      <c r="K167" s="88" t="s">
        <v>38</v>
      </c>
      <c r="L167" s="117" t="s">
        <v>78</v>
      </c>
      <c r="M167" s="111"/>
      <c r="N167" s="111"/>
      <c r="O167" s="111"/>
      <c r="P167" s="111"/>
      <c r="Q167" s="111">
        <v>14</v>
      </c>
      <c r="R167" s="111"/>
      <c r="S167" s="111"/>
      <c r="T167" s="111"/>
      <c r="U167" s="111"/>
      <c r="V167" s="111"/>
      <c r="W167" s="111"/>
      <c r="X167" s="92" t="s">
        <v>43</v>
      </c>
      <c r="Y167" s="88" t="s">
        <v>79</v>
      </c>
      <c r="Z167" s="88"/>
      <c r="AA167" s="92" t="s">
        <v>43</v>
      </c>
      <c r="AB167" s="88" t="s">
        <v>79</v>
      </c>
      <c r="AC167" s="119"/>
      <c r="AD167" s="149">
        <v>1</v>
      </c>
    </row>
    <row r="168" spans="1:30" ht="60" hidden="1" customHeight="1" x14ac:dyDescent="0.3">
      <c r="A168" s="88">
        <v>167</v>
      </c>
      <c r="B168" s="121" t="s">
        <v>685</v>
      </c>
      <c r="C168" s="95" t="s">
        <v>689</v>
      </c>
      <c r="D168" s="113" t="s">
        <v>690</v>
      </c>
      <c r="E168" s="113" t="s">
        <v>691</v>
      </c>
      <c r="F168" s="95" t="s">
        <v>525</v>
      </c>
      <c r="G168" s="95" t="s">
        <v>34</v>
      </c>
      <c r="H168" s="88" t="s">
        <v>35</v>
      </c>
      <c r="I168" s="129" t="s">
        <v>692</v>
      </c>
      <c r="J168" s="88" t="s">
        <v>37</v>
      </c>
      <c r="K168" s="88" t="s">
        <v>38</v>
      </c>
      <c r="L168" s="95" t="s">
        <v>693</v>
      </c>
      <c r="M168" s="111"/>
      <c r="N168" s="111"/>
      <c r="O168" s="111"/>
      <c r="P168" s="111"/>
      <c r="Q168" s="111"/>
      <c r="R168" s="111"/>
      <c r="S168" s="111"/>
      <c r="T168" s="111"/>
      <c r="U168" s="111"/>
      <c r="V168" s="111"/>
      <c r="W168" s="111"/>
      <c r="X168" s="92" t="s">
        <v>91</v>
      </c>
      <c r="Y168" s="95" t="s">
        <v>43</v>
      </c>
      <c r="Z168" s="95"/>
      <c r="AA168" s="92" t="s">
        <v>91</v>
      </c>
      <c r="AB168" s="95" t="s">
        <v>43</v>
      </c>
      <c r="AC168" s="119"/>
      <c r="AD168" s="149">
        <v>1</v>
      </c>
    </row>
    <row r="169" spans="1:30" ht="90" hidden="1" customHeight="1" x14ac:dyDescent="0.3">
      <c r="A169" s="88">
        <v>168</v>
      </c>
      <c r="B169" s="121" t="s">
        <v>685</v>
      </c>
      <c r="C169" s="95" t="s">
        <v>694</v>
      </c>
      <c r="D169" s="113" t="s">
        <v>695</v>
      </c>
      <c r="E169" s="113" t="s">
        <v>543</v>
      </c>
      <c r="F169" s="95" t="s">
        <v>525</v>
      </c>
      <c r="G169" s="95" t="s">
        <v>34</v>
      </c>
      <c r="H169" s="88" t="s">
        <v>35</v>
      </c>
      <c r="I169" s="129" t="s">
        <v>696</v>
      </c>
      <c r="J169" s="88" t="s">
        <v>37</v>
      </c>
      <c r="K169" s="88" t="s">
        <v>38</v>
      </c>
      <c r="L169" s="95" t="s">
        <v>693</v>
      </c>
      <c r="M169" s="111"/>
      <c r="N169" s="111"/>
      <c r="O169" s="111"/>
      <c r="P169" s="111"/>
      <c r="Q169" s="111"/>
      <c r="R169" s="111"/>
      <c r="S169" s="111"/>
      <c r="T169" s="111"/>
      <c r="U169" s="111"/>
      <c r="V169" s="111"/>
      <c r="W169" s="111"/>
      <c r="X169" s="92" t="s">
        <v>42</v>
      </c>
      <c r="Y169" s="95" t="s">
        <v>91</v>
      </c>
      <c r="Z169" s="95"/>
      <c r="AA169" s="92" t="s">
        <v>42</v>
      </c>
      <c r="AB169" s="95" t="s">
        <v>91</v>
      </c>
      <c r="AC169" s="119"/>
      <c r="AD169" s="149">
        <v>1</v>
      </c>
    </row>
    <row r="170" spans="1:30" ht="90" hidden="1" customHeight="1" x14ac:dyDescent="0.3">
      <c r="A170" s="88">
        <v>169</v>
      </c>
      <c r="B170" s="121" t="s">
        <v>685</v>
      </c>
      <c r="C170" s="95"/>
      <c r="D170" s="113"/>
      <c r="E170" s="113" t="s">
        <v>697</v>
      </c>
      <c r="F170" s="95" t="s">
        <v>525</v>
      </c>
      <c r="G170" s="95" t="s">
        <v>34</v>
      </c>
      <c r="H170" s="88" t="s">
        <v>35</v>
      </c>
      <c r="I170" s="129" t="s">
        <v>696</v>
      </c>
      <c r="J170" s="88" t="s">
        <v>37</v>
      </c>
      <c r="K170" s="88" t="s">
        <v>38</v>
      </c>
      <c r="L170" s="95" t="s">
        <v>693</v>
      </c>
      <c r="M170" s="111"/>
      <c r="N170" s="111"/>
      <c r="O170" s="111"/>
      <c r="P170" s="111"/>
      <c r="Q170" s="111"/>
      <c r="R170" s="111"/>
      <c r="S170" s="111"/>
      <c r="T170" s="111"/>
      <c r="U170" s="111"/>
      <c r="V170" s="111"/>
      <c r="W170" s="111"/>
      <c r="X170" s="92" t="s">
        <v>79</v>
      </c>
      <c r="Y170" s="95" t="s">
        <v>79</v>
      </c>
      <c r="Z170" s="95"/>
      <c r="AA170" s="92" t="s">
        <v>79</v>
      </c>
      <c r="AB170" s="95" t="s">
        <v>79</v>
      </c>
      <c r="AC170" s="119"/>
      <c r="AD170" s="149">
        <v>1</v>
      </c>
    </row>
    <row r="171" spans="1:30" ht="105" hidden="1" customHeight="1" x14ac:dyDescent="0.3">
      <c r="A171" s="88">
        <v>170</v>
      </c>
      <c r="B171" s="121" t="s">
        <v>685</v>
      </c>
      <c r="C171" s="95"/>
      <c r="D171" s="113"/>
      <c r="E171" s="113" t="s">
        <v>478</v>
      </c>
      <c r="F171" s="95" t="s">
        <v>525</v>
      </c>
      <c r="G171" s="95" t="s">
        <v>34</v>
      </c>
      <c r="H171" s="88" t="s">
        <v>35</v>
      </c>
      <c r="I171" s="129" t="s">
        <v>696</v>
      </c>
      <c r="J171" s="88" t="s">
        <v>37</v>
      </c>
      <c r="K171" s="88" t="s">
        <v>38</v>
      </c>
      <c r="L171" s="95" t="s">
        <v>693</v>
      </c>
      <c r="M171" s="111"/>
      <c r="N171" s="111"/>
      <c r="O171" s="111"/>
      <c r="P171" s="111"/>
      <c r="Q171" s="111"/>
      <c r="R171" s="111"/>
      <c r="S171" s="111"/>
      <c r="T171" s="111"/>
      <c r="U171" s="111"/>
      <c r="V171" s="111"/>
      <c r="W171" s="111"/>
      <c r="X171" s="92" t="s">
        <v>91</v>
      </c>
      <c r="Y171" s="95" t="s">
        <v>91</v>
      </c>
      <c r="Z171" s="95"/>
      <c r="AA171" s="92" t="s">
        <v>91</v>
      </c>
      <c r="AB171" s="95" t="s">
        <v>91</v>
      </c>
      <c r="AC171" s="119"/>
      <c r="AD171" s="149">
        <v>1</v>
      </c>
    </row>
    <row r="172" spans="1:30" ht="75" hidden="1" customHeight="1" x14ac:dyDescent="0.3">
      <c r="A172" s="88">
        <v>171</v>
      </c>
      <c r="B172" s="121" t="s">
        <v>685</v>
      </c>
      <c r="C172" s="95"/>
      <c r="D172" s="113"/>
      <c r="E172" s="113" t="s">
        <v>698</v>
      </c>
      <c r="F172" s="95" t="s">
        <v>525</v>
      </c>
      <c r="G172" s="95" t="s">
        <v>34</v>
      </c>
      <c r="H172" s="88" t="s">
        <v>35</v>
      </c>
      <c r="I172" s="129" t="s">
        <v>696</v>
      </c>
      <c r="J172" s="88" t="s">
        <v>37</v>
      </c>
      <c r="K172" s="88" t="s">
        <v>38</v>
      </c>
      <c r="L172" s="95" t="s">
        <v>693</v>
      </c>
      <c r="M172" s="111"/>
      <c r="N172" s="111"/>
      <c r="O172" s="111"/>
      <c r="P172" s="111"/>
      <c r="Q172" s="111"/>
      <c r="R172" s="111"/>
      <c r="S172" s="111"/>
      <c r="T172" s="111"/>
      <c r="U172" s="111"/>
      <c r="V172" s="111"/>
      <c r="W172" s="111"/>
      <c r="X172" s="92" t="s">
        <v>185</v>
      </c>
      <c r="Y172" s="95" t="s">
        <v>42</v>
      </c>
      <c r="Z172" s="95"/>
      <c r="AA172" s="92" t="s">
        <v>185</v>
      </c>
      <c r="AB172" s="95" t="s">
        <v>42</v>
      </c>
      <c r="AC172" s="119"/>
      <c r="AD172" s="149">
        <v>1</v>
      </c>
    </row>
    <row r="173" spans="1:30" ht="60" hidden="1" customHeight="1" x14ac:dyDescent="0.3">
      <c r="A173" s="88">
        <v>172</v>
      </c>
      <c r="B173" s="121" t="s">
        <v>685</v>
      </c>
      <c r="C173" s="95"/>
      <c r="D173" s="113"/>
      <c r="E173" s="113" t="s">
        <v>699</v>
      </c>
      <c r="F173" s="95" t="s">
        <v>525</v>
      </c>
      <c r="G173" s="95" t="s">
        <v>34</v>
      </c>
      <c r="H173" s="88" t="s">
        <v>35</v>
      </c>
      <c r="I173" s="129" t="s">
        <v>700</v>
      </c>
      <c r="J173" s="88" t="s">
        <v>35</v>
      </c>
      <c r="K173" s="88" t="s">
        <v>38</v>
      </c>
      <c r="L173" s="117" t="s">
        <v>693</v>
      </c>
      <c r="M173" s="111"/>
      <c r="N173" s="111"/>
      <c r="O173" s="111"/>
      <c r="P173" s="111"/>
      <c r="Q173" s="111"/>
      <c r="R173" s="111"/>
      <c r="S173" s="111"/>
      <c r="T173" s="111"/>
      <c r="U173" s="111"/>
      <c r="V173" s="111"/>
      <c r="W173" s="111"/>
      <c r="X173" s="92" t="s">
        <v>79</v>
      </c>
      <c r="Y173" s="88" t="s">
        <v>79</v>
      </c>
      <c r="Z173" s="88"/>
      <c r="AA173" s="92" t="s">
        <v>79</v>
      </c>
      <c r="AB173" s="88" t="s">
        <v>79</v>
      </c>
      <c r="AC173" s="119"/>
      <c r="AD173" s="149">
        <v>1</v>
      </c>
    </row>
    <row r="174" spans="1:30" ht="135" hidden="1" customHeight="1" x14ac:dyDescent="0.3">
      <c r="A174" s="88">
        <v>173</v>
      </c>
      <c r="B174" s="121" t="s">
        <v>685</v>
      </c>
      <c r="C174" s="95" t="s">
        <v>701</v>
      </c>
      <c r="D174" s="113" t="s">
        <v>585</v>
      </c>
      <c r="E174" s="113" t="s">
        <v>702</v>
      </c>
      <c r="F174" s="95" t="s">
        <v>525</v>
      </c>
      <c r="G174" s="95" t="s">
        <v>34</v>
      </c>
      <c r="H174" s="88" t="s">
        <v>35</v>
      </c>
      <c r="I174" s="129" t="s">
        <v>696</v>
      </c>
      <c r="J174" s="88" t="s">
        <v>37</v>
      </c>
      <c r="K174" s="88" t="s">
        <v>38</v>
      </c>
      <c r="L174" s="95" t="s">
        <v>693</v>
      </c>
      <c r="M174" s="111"/>
      <c r="N174" s="111"/>
      <c r="O174" s="111"/>
      <c r="P174" s="111"/>
      <c r="Q174" s="111"/>
      <c r="R174" s="111"/>
      <c r="S174" s="111"/>
      <c r="T174" s="111"/>
      <c r="U174" s="111"/>
      <c r="V174" s="111"/>
      <c r="W174" s="111"/>
      <c r="X174" s="92" t="s">
        <v>91</v>
      </c>
      <c r="Y174" s="95" t="s">
        <v>79</v>
      </c>
      <c r="Z174" s="95"/>
      <c r="AA174" s="92" t="s">
        <v>91</v>
      </c>
      <c r="AB174" s="95" t="s">
        <v>79</v>
      </c>
      <c r="AC174" s="119"/>
      <c r="AD174" s="149">
        <v>1</v>
      </c>
    </row>
    <row r="175" spans="1:30" ht="60" hidden="1" customHeight="1" x14ac:dyDescent="0.3">
      <c r="A175" s="88">
        <v>174</v>
      </c>
      <c r="B175" s="121" t="s">
        <v>685</v>
      </c>
      <c r="C175" s="95"/>
      <c r="D175" s="113"/>
      <c r="E175" s="113" t="s">
        <v>613</v>
      </c>
      <c r="F175" s="95" t="s">
        <v>525</v>
      </c>
      <c r="G175" s="95" t="s">
        <v>34</v>
      </c>
      <c r="H175" s="88" t="s">
        <v>35</v>
      </c>
      <c r="I175" s="129" t="s">
        <v>696</v>
      </c>
      <c r="J175" s="88" t="s">
        <v>37</v>
      </c>
      <c r="K175" s="88" t="s">
        <v>38</v>
      </c>
      <c r="L175" s="95" t="s">
        <v>693</v>
      </c>
      <c r="M175" s="111"/>
      <c r="N175" s="111"/>
      <c r="O175" s="111"/>
      <c r="P175" s="111"/>
      <c r="Q175" s="111"/>
      <c r="R175" s="111"/>
      <c r="S175" s="111"/>
      <c r="T175" s="111"/>
      <c r="U175" s="111"/>
      <c r="V175" s="111"/>
      <c r="W175" s="111"/>
      <c r="X175" s="92" t="s">
        <v>91</v>
      </c>
      <c r="Y175" s="95" t="s">
        <v>91</v>
      </c>
      <c r="Z175" s="95"/>
      <c r="AA175" s="92" t="s">
        <v>91</v>
      </c>
      <c r="AB175" s="95" t="s">
        <v>91</v>
      </c>
      <c r="AC175" s="119"/>
      <c r="AD175" s="149">
        <v>1</v>
      </c>
    </row>
    <row r="176" spans="1:30" ht="60" hidden="1" customHeight="1" x14ac:dyDescent="0.3">
      <c r="A176" s="88">
        <v>175</v>
      </c>
      <c r="B176" s="121" t="s">
        <v>685</v>
      </c>
      <c r="C176" s="95"/>
      <c r="D176" s="113"/>
      <c r="E176" s="113" t="s">
        <v>703</v>
      </c>
      <c r="F176" s="95" t="s">
        <v>525</v>
      </c>
      <c r="G176" s="95" t="s">
        <v>34</v>
      </c>
      <c r="H176" s="88" t="s">
        <v>35</v>
      </c>
      <c r="I176" s="129" t="s">
        <v>696</v>
      </c>
      <c r="J176" s="88" t="s">
        <v>37</v>
      </c>
      <c r="K176" s="88" t="s">
        <v>38</v>
      </c>
      <c r="L176" s="95" t="s">
        <v>693</v>
      </c>
      <c r="M176" s="111"/>
      <c r="N176" s="111"/>
      <c r="O176" s="111"/>
      <c r="P176" s="111"/>
      <c r="Q176" s="111"/>
      <c r="R176" s="111"/>
      <c r="S176" s="95" t="s">
        <v>98</v>
      </c>
      <c r="T176" s="111"/>
      <c r="U176" s="111"/>
      <c r="V176" s="111"/>
      <c r="W176" s="111"/>
      <c r="X176" s="92" t="s">
        <v>185</v>
      </c>
      <c r="Y176" s="111" t="s">
        <v>43</v>
      </c>
      <c r="Z176" s="111"/>
      <c r="AA176" s="92" t="s">
        <v>185</v>
      </c>
      <c r="AB176" s="111" t="s">
        <v>43</v>
      </c>
      <c r="AC176" s="119"/>
      <c r="AD176" s="149">
        <v>1</v>
      </c>
    </row>
    <row r="177" spans="1:30" ht="60" hidden="1" customHeight="1" x14ac:dyDescent="0.3">
      <c r="A177" s="88">
        <v>176</v>
      </c>
      <c r="B177" s="121" t="s">
        <v>685</v>
      </c>
      <c r="C177" s="95" t="s">
        <v>704</v>
      </c>
      <c r="D177" s="113" t="s">
        <v>705</v>
      </c>
      <c r="E177" s="113" t="s">
        <v>706</v>
      </c>
      <c r="F177" s="95" t="s">
        <v>525</v>
      </c>
      <c r="G177" s="95" t="s">
        <v>34</v>
      </c>
      <c r="H177" s="88" t="s">
        <v>35</v>
      </c>
      <c r="I177" s="129" t="s">
        <v>696</v>
      </c>
      <c r="J177" s="88" t="s">
        <v>37</v>
      </c>
      <c r="K177" s="88" t="s">
        <v>38</v>
      </c>
      <c r="L177" s="95" t="s">
        <v>693</v>
      </c>
      <c r="M177" s="111"/>
      <c r="N177" s="111"/>
      <c r="O177" s="111"/>
      <c r="P177" s="111"/>
      <c r="Q177" s="111"/>
      <c r="R177" s="111"/>
      <c r="S177" s="111"/>
      <c r="T177" s="111"/>
      <c r="U177" s="111"/>
      <c r="V177" s="111"/>
      <c r="W177" s="111"/>
      <c r="X177" s="92" t="s">
        <v>79</v>
      </c>
      <c r="Y177" s="95" t="s">
        <v>91</v>
      </c>
      <c r="Z177" s="95"/>
      <c r="AA177" s="92" t="s">
        <v>79</v>
      </c>
      <c r="AB177" s="95" t="s">
        <v>91</v>
      </c>
      <c r="AC177" s="119"/>
      <c r="AD177" s="149">
        <v>1</v>
      </c>
    </row>
    <row r="178" spans="1:30" ht="60" hidden="1" customHeight="1" x14ac:dyDescent="0.3">
      <c r="A178" s="88">
        <v>177</v>
      </c>
      <c r="B178" s="121" t="s">
        <v>685</v>
      </c>
      <c r="C178" s="95" t="s">
        <v>707</v>
      </c>
      <c r="D178" s="113" t="s">
        <v>708</v>
      </c>
      <c r="E178" s="113" t="s">
        <v>709</v>
      </c>
      <c r="F178" s="95" t="s">
        <v>525</v>
      </c>
      <c r="G178" s="95" t="s">
        <v>34</v>
      </c>
      <c r="H178" s="88" t="s">
        <v>35</v>
      </c>
      <c r="I178" s="129" t="s">
        <v>710</v>
      </c>
      <c r="J178" s="88" t="s">
        <v>37</v>
      </c>
      <c r="K178" s="88" t="s">
        <v>38</v>
      </c>
      <c r="L178" s="95"/>
      <c r="M178" s="111"/>
      <c r="N178" s="111"/>
      <c r="O178" s="111"/>
      <c r="P178" s="111"/>
      <c r="Q178" s="111"/>
      <c r="R178" s="111"/>
      <c r="S178" s="111"/>
      <c r="T178" s="111"/>
      <c r="U178" s="111"/>
      <c r="V178" s="111"/>
      <c r="W178" s="111"/>
      <c r="X178" s="92" t="s">
        <v>79</v>
      </c>
      <c r="Y178" s="95" t="s">
        <v>79</v>
      </c>
      <c r="Z178" s="95"/>
      <c r="AA178" s="92" t="s">
        <v>79</v>
      </c>
      <c r="AB178" s="95" t="s">
        <v>79</v>
      </c>
      <c r="AC178" s="119"/>
      <c r="AD178" s="149">
        <v>1</v>
      </c>
    </row>
    <row r="179" spans="1:30" ht="60" hidden="1" customHeight="1" x14ac:dyDescent="0.3">
      <c r="A179" s="88">
        <v>178</v>
      </c>
      <c r="B179" s="121" t="s">
        <v>685</v>
      </c>
      <c r="C179" s="95" t="s">
        <v>711</v>
      </c>
      <c r="D179" s="113" t="s">
        <v>712</v>
      </c>
      <c r="E179" s="113" t="s">
        <v>713</v>
      </c>
      <c r="F179" s="95" t="s">
        <v>525</v>
      </c>
      <c r="G179" s="95" t="s">
        <v>34</v>
      </c>
      <c r="H179" s="88" t="s">
        <v>35</v>
      </c>
      <c r="I179" s="129" t="s">
        <v>696</v>
      </c>
      <c r="J179" s="88" t="s">
        <v>37</v>
      </c>
      <c r="K179" s="88" t="s">
        <v>38</v>
      </c>
      <c r="L179" s="95" t="s">
        <v>693</v>
      </c>
      <c r="M179" s="111"/>
      <c r="N179" s="111"/>
      <c r="O179" s="111"/>
      <c r="P179" s="111"/>
      <c r="Q179" s="95" t="s">
        <v>714</v>
      </c>
      <c r="R179" s="111"/>
      <c r="S179" s="111"/>
      <c r="T179" s="111"/>
      <c r="U179" s="111"/>
      <c r="V179" s="111"/>
      <c r="W179" s="111"/>
      <c r="X179" s="92" t="s">
        <v>42</v>
      </c>
      <c r="Y179" s="95" t="s">
        <v>79</v>
      </c>
      <c r="Z179" s="95"/>
      <c r="AA179" s="92" t="s">
        <v>42</v>
      </c>
      <c r="AB179" s="95" t="s">
        <v>79</v>
      </c>
      <c r="AC179" s="119"/>
      <c r="AD179" s="149">
        <v>1</v>
      </c>
    </row>
    <row r="180" spans="1:30" ht="75" hidden="1" customHeight="1" x14ac:dyDescent="0.3">
      <c r="A180" s="88">
        <v>179</v>
      </c>
      <c r="B180" s="121" t="s">
        <v>685</v>
      </c>
      <c r="C180" s="95"/>
      <c r="D180" s="113"/>
      <c r="E180" s="113" t="s">
        <v>715</v>
      </c>
      <c r="F180" s="95" t="s">
        <v>525</v>
      </c>
      <c r="G180" s="95" t="s">
        <v>34</v>
      </c>
      <c r="H180" s="88" t="s">
        <v>35</v>
      </c>
      <c r="I180" s="129" t="s">
        <v>696</v>
      </c>
      <c r="J180" s="88" t="s">
        <v>37</v>
      </c>
      <c r="K180" s="88" t="s">
        <v>38</v>
      </c>
      <c r="L180" s="95" t="s">
        <v>693</v>
      </c>
      <c r="M180" s="111"/>
      <c r="N180" s="111"/>
      <c r="O180" s="111"/>
      <c r="P180" s="111"/>
      <c r="Q180" s="111"/>
      <c r="R180" s="111"/>
      <c r="S180" s="111"/>
      <c r="T180" s="111"/>
      <c r="U180" s="111"/>
      <c r="V180" s="111"/>
      <c r="W180" s="111"/>
      <c r="X180" s="92" t="s">
        <v>91</v>
      </c>
      <c r="Y180" s="95" t="s">
        <v>79</v>
      </c>
      <c r="Z180" s="95"/>
      <c r="AA180" s="92" t="s">
        <v>91</v>
      </c>
      <c r="AB180" s="95" t="s">
        <v>79</v>
      </c>
      <c r="AC180" s="119"/>
      <c r="AD180" s="149">
        <v>1</v>
      </c>
    </row>
    <row r="181" spans="1:30" ht="90" hidden="1" customHeight="1" x14ac:dyDescent="0.3">
      <c r="A181" s="88">
        <v>180</v>
      </c>
      <c r="B181" s="121" t="s">
        <v>685</v>
      </c>
      <c r="C181" s="95" t="s">
        <v>716</v>
      </c>
      <c r="D181" s="113" t="s">
        <v>434</v>
      </c>
      <c r="E181" s="113" t="s">
        <v>717</v>
      </c>
      <c r="F181" s="95" t="s">
        <v>525</v>
      </c>
      <c r="G181" s="95" t="s">
        <v>34</v>
      </c>
      <c r="H181" s="88" t="s">
        <v>35</v>
      </c>
      <c r="I181" s="129" t="s">
        <v>718</v>
      </c>
      <c r="J181" s="88" t="s">
        <v>35</v>
      </c>
      <c r="K181" s="88" t="s">
        <v>38</v>
      </c>
      <c r="L181" s="117" t="s">
        <v>83</v>
      </c>
      <c r="M181" s="111"/>
      <c r="N181" s="111"/>
      <c r="O181" s="111"/>
      <c r="P181" s="111"/>
      <c r="Q181" s="97" t="s">
        <v>98</v>
      </c>
      <c r="R181" s="111"/>
      <c r="S181" s="88" t="s">
        <v>719</v>
      </c>
      <c r="T181" s="111"/>
      <c r="U181" s="111"/>
      <c r="V181" s="111"/>
      <c r="W181" s="111"/>
      <c r="X181" s="92" t="s">
        <v>43</v>
      </c>
      <c r="Y181" s="111" t="s">
        <v>43</v>
      </c>
      <c r="Z181" s="111"/>
      <c r="AA181" s="92" t="s">
        <v>43</v>
      </c>
      <c r="AB181" s="111" t="s">
        <v>43</v>
      </c>
      <c r="AC181" s="119"/>
      <c r="AD181" s="149">
        <v>1</v>
      </c>
    </row>
    <row r="182" spans="1:30" ht="60" hidden="1" customHeight="1" x14ac:dyDescent="0.3">
      <c r="A182" s="88">
        <v>181</v>
      </c>
      <c r="B182" s="121" t="s">
        <v>685</v>
      </c>
      <c r="C182" s="95" t="s">
        <v>720</v>
      </c>
      <c r="D182" s="113" t="s">
        <v>721</v>
      </c>
      <c r="E182" s="113" t="s">
        <v>722</v>
      </c>
      <c r="F182" s="95" t="s">
        <v>525</v>
      </c>
      <c r="G182" s="95" t="s">
        <v>34</v>
      </c>
      <c r="H182" s="88" t="s">
        <v>35</v>
      </c>
      <c r="I182" s="129" t="s">
        <v>718</v>
      </c>
      <c r="J182" s="88" t="s">
        <v>35</v>
      </c>
      <c r="K182" s="88" t="s">
        <v>38</v>
      </c>
      <c r="L182" s="117" t="s">
        <v>83</v>
      </c>
      <c r="M182" s="111"/>
      <c r="N182" s="111"/>
      <c r="O182" s="111"/>
      <c r="P182" s="111"/>
      <c r="Q182" s="130" t="s">
        <v>723</v>
      </c>
      <c r="R182" s="111"/>
      <c r="S182" s="88" t="s">
        <v>99</v>
      </c>
      <c r="T182" s="111"/>
      <c r="U182" s="111"/>
      <c r="V182" s="111"/>
      <c r="W182" s="111"/>
      <c r="X182" s="92" t="s">
        <v>43</v>
      </c>
      <c r="Y182" s="111" t="s">
        <v>43</v>
      </c>
      <c r="Z182" s="111"/>
      <c r="AA182" s="92" t="s">
        <v>43</v>
      </c>
      <c r="AB182" s="111" t="s">
        <v>43</v>
      </c>
      <c r="AC182" s="119"/>
      <c r="AD182" s="149">
        <v>1</v>
      </c>
    </row>
    <row r="183" spans="1:30" ht="75" hidden="1" customHeight="1" x14ac:dyDescent="0.3">
      <c r="A183" s="88">
        <v>182</v>
      </c>
      <c r="B183" s="121" t="s">
        <v>685</v>
      </c>
      <c r="C183" s="95" t="s">
        <v>724</v>
      </c>
      <c r="D183" s="113" t="s">
        <v>725</v>
      </c>
      <c r="E183" s="113" t="s">
        <v>726</v>
      </c>
      <c r="F183" s="95" t="s">
        <v>525</v>
      </c>
      <c r="G183" s="95" t="s">
        <v>34</v>
      </c>
      <c r="H183" s="88" t="s">
        <v>35</v>
      </c>
      <c r="I183" s="129" t="s">
        <v>727</v>
      </c>
      <c r="J183" s="88" t="s">
        <v>35</v>
      </c>
      <c r="K183" s="88" t="s">
        <v>145</v>
      </c>
      <c r="L183" s="95" t="s">
        <v>83</v>
      </c>
      <c r="M183" s="111"/>
      <c r="N183" s="111"/>
      <c r="O183" s="111"/>
      <c r="P183" s="111"/>
      <c r="Q183" s="131" t="s">
        <v>98</v>
      </c>
      <c r="R183" s="111"/>
      <c r="S183" s="88" t="s">
        <v>728</v>
      </c>
      <c r="T183" s="111"/>
      <c r="U183" s="111"/>
      <c r="V183" s="111"/>
      <c r="W183" s="111"/>
      <c r="X183" s="92" t="s">
        <v>43</v>
      </c>
      <c r="Y183" s="111" t="s">
        <v>43</v>
      </c>
      <c r="Z183" s="111"/>
      <c r="AA183" s="92" t="s">
        <v>43</v>
      </c>
      <c r="AB183" s="111" t="s">
        <v>43</v>
      </c>
      <c r="AC183" s="119"/>
      <c r="AD183" s="149">
        <v>1</v>
      </c>
    </row>
    <row r="184" spans="1:30" ht="75" hidden="1" customHeight="1" x14ac:dyDescent="0.3">
      <c r="A184" s="88">
        <v>183</v>
      </c>
      <c r="B184" s="121" t="s">
        <v>685</v>
      </c>
      <c r="C184" s="95" t="s">
        <v>729</v>
      </c>
      <c r="D184" s="113" t="s">
        <v>377</v>
      </c>
      <c r="E184" s="113" t="s">
        <v>730</v>
      </c>
      <c r="F184" s="95" t="s">
        <v>525</v>
      </c>
      <c r="G184" s="95" t="s">
        <v>34</v>
      </c>
      <c r="H184" s="88" t="s">
        <v>35</v>
      </c>
      <c r="I184" s="129" t="s">
        <v>718</v>
      </c>
      <c r="J184" s="88" t="s">
        <v>35</v>
      </c>
      <c r="K184" s="88" t="s">
        <v>38</v>
      </c>
      <c r="L184" s="117" t="s">
        <v>83</v>
      </c>
      <c r="M184" s="111"/>
      <c r="N184" s="111"/>
      <c r="O184" s="111"/>
      <c r="P184" s="111"/>
      <c r="Q184" s="130" t="s">
        <v>98</v>
      </c>
      <c r="R184" s="111"/>
      <c r="S184" s="106" t="s">
        <v>731</v>
      </c>
      <c r="T184" s="111"/>
      <c r="U184" s="111"/>
      <c r="V184" s="111"/>
      <c r="W184" s="111"/>
      <c r="X184" s="92" t="s">
        <v>42</v>
      </c>
      <c r="Y184" s="111" t="s">
        <v>42</v>
      </c>
      <c r="Z184" s="111"/>
      <c r="AA184" s="92" t="s">
        <v>42</v>
      </c>
      <c r="AB184" s="111" t="s">
        <v>42</v>
      </c>
      <c r="AC184" s="119"/>
      <c r="AD184" s="149">
        <v>1</v>
      </c>
    </row>
    <row r="185" spans="1:30" ht="60" hidden="1" customHeight="1" x14ac:dyDescent="0.3">
      <c r="A185" s="88">
        <v>184</v>
      </c>
      <c r="B185" s="121" t="s">
        <v>685</v>
      </c>
      <c r="C185" s="95" t="s">
        <v>732</v>
      </c>
      <c r="D185" s="113" t="s">
        <v>733</v>
      </c>
      <c r="E185" s="113" t="s">
        <v>734</v>
      </c>
      <c r="F185" s="95" t="s">
        <v>525</v>
      </c>
      <c r="G185" s="95" t="s">
        <v>34</v>
      </c>
      <c r="H185" s="88" t="s">
        <v>35</v>
      </c>
      <c r="I185" s="129" t="s">
        <v>735</v>
      </c>
      <c r="J185" s="88" t="s">
        <v>37</v>
      </c>
      <c r="K185" s="88" t="s">
        <v>38</v>
      </c>
      <c r="L185" s="95" t="s">
        <v>83</v>
      </c>
      <c r="M185" s="111"/>
      <c r="N185" s="111"/>
      <c r="O185" s="111"/>
      <c r="P185" s="111"/>
      <c r="Q185" s="130"/>
      <c r="R185" s="111"/>
      <c r="S185" s="111"/>
      <c r="T185" s="111"/>
      <c r="U185" s="111"/>
      <c r="V185" s="111"/>
      <c r="W185" s="111"/>
      <c r="X185" s="92" t="s">
        <v>91</v>
      </c>
      <c r="Y185" s="95" t="s">
        <v>91</v>
      </c>
      <c r="Z185" s="95"/>
      <c r="AA185" s="92" t="s">
        <v>91</v>
      </c>
      <c r="AB185" s="95" t="s">
        <v>91</v>
      </c>
      <c r="AC185" s="119"/>
      <c r="AD185" s="149">
        <v>1</v>
      </c>
    </row>
    <row r="186" spans="1:30" ht="60" hidden="1" customHeight="1" x14ac:dyDescent="0.3">
      <c r="A186" s="88">
        <v>185</v>
      </c>
      <c r="B186" s="121" t="s">
        <v>685</v>
      </c>
      <c r="C186" s="95" t="s">
        <v>736</v>
      </c>
      <c r="D186" s="113" t="s">
        <v>737</v>
      </c>
      <c r="E186" s="113" t="s">
        <v>738</v>
      </c>
      <c r="F186" s="95" t="s">
        <v>525</v>
      </c>
      <c r="G186" s="95" t="s">
        <v>34</v>
      </c>
      <c r="H186" s="88" t="s">
        <v>35</v>
      </c>
      <c r="I186" s="129" t="s">
        <v>739</v>
      </c>
      <c r="J186" s="88" t="s">
        <v>35</v>
      </c>
      <c r="K186" s="88" t="s">
        <v>38</v>
      </c>
      <c r="L186" s="117" t="s">
        <v>83</v>
      </c>
      <c r="M186" s="111"/>
      <c r="N186" s="111"/>
      <c r="O186" s="111"/>
      <c r="P186" s="111"/>
      <c r="Q186" s="95" t="s">
        <v>740</v>
      </c>
      <c r="R186" s="111"/>
      <c r="S186" s="111" t="s">
        <v>741</v>
      </c>
      <c r="T186" s="111"/>
      <c r="U186" s="111"/>
      <c r="V186" s="111"/>
      <c r="W186" s="111"/>
      <c r="X186" s="92" t="s">
        <v>43</v>
      </c>
      <c r="Y186" s="111" t="s">
        <v>43</v>
      </c>
      <c r="Z186" s="111"/>
      <c r="AA186" s="92" t="s">
        <v>43</v>
      </c>
      <c r="AB186" s="111" t="s">
        <v>43</v>
      </c>
      <c r="AC186" s="119"/>
      <c r="AD186" s="149">
        <v>1</v>
      </c>
    </row>
    <row r="187" spans="1:30" ht="60" hidden="1" customHeight="1" x14ac:dyDescent="0.3">
      <c r="A187" s="88">
        <v>186</v>
      </c>
      <c r="B187" s="121" t="s">
        <v>685</v>
      </c>
      <c r="C187" s="95" t="s">
        <v>742</v>
      </c>
      <c r="D187" s="113" t="s">
        <v>743</v>
      </c>
      <c r="E187" s="113" t="s">
        <v>744</v>
      </c>
      <c r="F187" s="95" t="s">
        <v>525</v>
      </c>
      <c r="G187" s="95" t="s">
        <v>34</v>
      </c>
      <c r="H187" s="88" t="s">
        <v>35</v>
      </c>
      <c r="I187" s="129" t="s">
        <v>745</v>
      </c>
      <c r="J187" s="88" t="s">
        <v>35</v>
      </c>
      <c r="K187" s="88" t="s">
        <v>38</v>
      </c>
      <c r="L187" s="117" t="s">
        <v>53</v>
      </c>
      <c r="M187" s="111"/>
      <c r="N187" s="111"/>
      <c r="O187" s="111"/>
      <c r="P187" s="111"/>
      <c r="Q187" s="113"/>
      <c r="R187" s="111"/>
      <c r="S187" s="111"/>
      <c r="T187" s="111"/>
      <c r="U187" s="111"/>
      <c r="V187" s="111"/>
      <c r="W187" s="111"/>
      <c r="X187" s="92" t="s">
        <v>79</v>
      </c>
      <c r="Y187" s="88" t="s">
        <v>79</v>
      </c>
      <c r="Z187" s="88"/>
      <c r="AA187" s="92" t="s">
        <v>79</v>
      </c>
      <c r="AB187" s="88" t="s">
        <v>79</v>
      </c>
      <c r="AC187" s="119"/>
      <c r="AD187" s="149">
        <v>1</v>
      </c>
    </row>
    <row r="188" spans="1:30" ht="60" hidden="1" customHeight="1" x14ac:dyDescent="0.3">
      <c r="A188" s="88">
        <v>187</v>
      </c>
      <c r="B188" s="121" t="s">
        <v>685</v>
      </c>
      <c r="C188" s="95"/>
      <c r="D188" s="113"/>
      <c r="E188" s="113" t="s">
        <v>464</v>
      </c>
      <c r="F188" s="95" t="s">
        <v>525</v>
      </c>
      <c r="G188" s="95" t="s">
        <v>34</v>
      </c>
      <c r="H188" s="88" t="s">
        <v>35</v>
      </c>
      <c r="I188" s="129" t="s">
        <v>746</v>
      </c>
      <c r="J188" s="88" t="s">
        <v>35</v>
      </c>
      <c r="K188" s="88" t="s">
        <v>38</v>
      </c>
      <c r="L188" s="117" t="s">
        <v>53</v>
      </c>
      <c r="M188" s="111"/>
      <c r="N188" s="111"/>
      <c r="O188" s="111"/>
      <c r="P188" s="111"/>
      <c r="Q188" s="113"/>
      <c r="R188" s="111"/>
      <c r="S188" s="111"/>
      <c r="T188" s="111"/>
      <c r="U188" s="111"/>
      <c r="V188" s="111"/>
      <c r="W188" s="111"/>
      <c r="X188" s="92" t="s">
        <v>91</v>
      </c>
      <c r="Y188" s="88" t="s">
        <v>91</v>
      </c>
      <c r="Z188" s="88"/>
      <c r="AA188" s="92" t="s">
        <v>91</v>
      </c>
      <c r="AB188" s="88" t="s">
        <v>91</v>
      </c>
      <c r="AC188" s="119"/>
      <c r="AD188" s="149">
        <v>1</v>
      </c>
    </row>
    <row r="189" spans="1:30" ht="60" hidden="1" customHeight="1" x14ac:dyDescent="0.3">
      <c r="A189" s="88">
        <v>188</v>
      </c>
      <c r="B189" s="121" t="s">
        <v>685</v>
      </c>
      <c r="C189" s="95"/>
      <c r="D189" s="113"/>
      <c r="E189" s="113" t="s">
        <v>110</v>
      </c>
      <c r="F189" s="95" t="s">
        <v>525</v>
      </c>
      <c r="G189" s="95" t="s">
        <v>34</v>
      </c>
      <c r="H189" s="88" t="s">
        <v>37</v>
      </c>
      <c r="I189" s="129" t="s">
        <v>747</v>
      </c>
      <c r="J189" s="88" t="s">
        <v>35</v>
      </c>
      <c r="K189" s="88" t="s">
        <v>38</v>
      </c>
      <c r="L189" s="117" t="s">
        <v>53</v>
      </c>
      <c r="M189" s="111"/>
      <c r="N189" s="111"/>
      <c r="O189" s="111"/>
      <c r="P189" s="111"/>
      <c r="Q189" s="113"/>
      <c r="R189" s="111"/>
      <c r="S189" s="111"/>
      <c r="T189" s="111"/>
      <c r="U189" s="111"/>
      <c r="V189" s="111"/>
      <c r="W189" s="111"/>
      <c r="X189" s="92" t="s">
        <v>75</v>
      </c>
      <c r="Y189" s="88" t="s">
        <v>79</v>
      </c>
      <c r="Z189" s="88"/>
      <c r="AA189" s="92" t="s">
        <v>75</v>
      </c>
      <c r="AB189" s="88" t="s">
        <v>79</v>
      </c>
      <c r="AC189" s="119"/>
      <c r="AD189" s="149">
        <v>1</v>
      </c>
    </row>
    <row r="190" spans="1:30" ht="60" hidden="1" customHeight="1" x14ac:dyDescent="0.3">
      <c r="A190" s="88">
        <v>189</v>
      </c>
      <c r="B190" s="121" t="s">
        <v>685</v>
      </c>
      <c r="C190" s="95" t="s">
        <v>748</v>
      </c>
      <c r="D190" s="116" t="s">
        <v>749</v>
      </c>
      <c r="E190" s="116" t="s">
        <v>750</v>
      </c>
      <c r="F190" s="95" t="s">
        <v>525</v>
      </c>
      <c r="G190" s="95" t="s">
        <v>34</v>
      </c>
      <c r="H190" s="88" t="s">
        <v>37</v>
      </c>
      <c r="I190" s="129" t="s">
        <v>751</v>
      </c>
      <c r="J190" s="88" t="s">
        <v>35</v>
      </c>
      <c r="K190" s="88" t="s">
        <v>38</v>
      </c>
      <c r="L190" s="117" t="s">
        <v>693</v>
      </c>
      <c r="M190" s="111"/>
      <c r="N190" s="111"/>
      <c r="O190" s="111"/>
      <c r="P190" s="111"/>
      <c r="Q190" s="111"/>
      <c r="R190" s="111"/>
      <c r="S190" s="95" t="s">
        <v>752</v>
      </c>
      <c r="T190" s="111"/>
      <c r="U190" s="111"/>
      <c r="V190" s="111"/>
      <c r="W190" s="111"/>
      <c r="X190" s="92" t="s">
        <v>79</v>
      </c>
      <c r="Y190" s="88" t="s">
        <v>91</v>
      </c>
      <c r="Z190" s="88"/>
      <c r="AA190" s="92" t="s">
        <v>79</v>
      </c>
      <c r="AB190" s="88" t="s">
        <v>91</v>
      </c>
      <c r="AC190" s="119"/>
      <c r="AD190" s="149">
        <v>1</v>
      </c>
    </row>
    <row r="191" spans="1:30" ht="105.75" hidden="1" customHeight="1" x14ac:dyDescent="0.3">
      <c r="A191" s="88">
        <v>190</v>
      </c>
      <c r="B191" s="121" t="s">
        <v>685</v>
      </c>
      <c r="C191" s="95" t="s">
        <v>753</v>
      </c>
      <c r="D191" s="113" t="s">
        <v>32</v>
      </c>
      <c r="E191" s="113" t="s">
        <v>51</v>
      </c>
      <c r="F191" s="95" t="s">
        <v>525</v>
      </c>
      <c r="G191" s="95" t="s">
        <v>34</v>
      </c>
      <c r="H191" s="88" t="s">
        <v>35</v>
      </c>
      <c r="I191" s="129" t="s">
        <v>754</v>
      </c>
      <c r="J191" s="88" t="s">
        <v>35</v>
      </c>
      <c r="K191" s="88" t="s">
        <v>38</v>
      </c>
      <c r="L191" s="117" t="s">
        <v>372</v>
      </c>
      <c r="M191" s="111"/>
      <c r="N191" s="111"/>
      <c r="O191" s="111"/>
      <c r="P191" s="111"/>
      <c r="Q191" s="111"/>
      <c r="R191" s="111"/>
      <c r="S191" s="88" t="s">
        <v>74</v>
      </c>
      <c r="T191" s="111"/>
      <c r="U191" s="111"/>
      <c r="V191" s="111"/>
      <c r="W191" s="111"/>
      <c r="X191" s="92" t="s">
        <v>79</v>
      </c>
      <c r="Y191" s="111" t="s">
        <v>43</v>
      </c>
      <c r="Z191" s="111"/>
      <c r="AA191" s="92" t="s">
        <v>79</v>
      </c>
      <c r="AB191" s="111" t="s">
        <v>43</v>
      </c>
      <c r="AC191" s="119"/>
      <c r="AD191" s="149">
        <v>1</v>
      </c>
    </row>
    <row r="192" spans="1:30" ht="60" hidden="1" customHeight="1" x14ac:dyDescent="0.3">
      <c r="A192" s="88">
        <v>191</v>
      </c>
      <c r="B192" s="121" t="s">
        <v>685</v>
      </c>
      <c r="C192" s="95" t="s">
        <v>755</v>
      </c>
      <c r="D192" s="116" t="s">
        <v>117</v>
      </c>
      <c r="E192" s="116" t="s">
        <v>756</v>
      </c>
      <c r="F192" s="95" t="s">
        <v>525</v>
      </c>
      <c r="G192" s="95" t="s">
        <v>34</v>
      </c>
      <c r="H192" s="88" t="s">
        <v>35</v>
      </c>
      <c r="I192" s="129" t="s">
        <v>739</v>
      </c>
      <c r="J192" s="88" t="s">
        <v>35</v>
      </c>
      <c r="K192" s="88" t="s">
        <v>38</v>
      </c>
      <c r="L192" s="117" t="s">
        <v>335</v>
      </c>
      <c r="M192" s="111"/>
      <c r="N192" s="111"/>
      <c r="O192" s="111"/>
      <c r="P192" s="111"/>
      <c r="Q192" s="111"/>
      <c r="R192" s="111"/>
      <c r="S192" s="111"/>
      <c r="T192" s="111"/>
      <c r="U192" s="111"/>
      <c r="V192" s="111"/>
      <c r="W192" s="111"/>
      <c r="X192" s="92" t="s">
        <v>79</v>
      </c>
      <c r="Y192" s="88" t="s">
        <v>79</v>
      </c>
      <c r="Z192" s="88"/>
      <c r="AA192" s="92" t="s">
        <v>79</v>
      </c>
      <c r="AB192" s="88" t="s">
        <v>79</v>
      </c>
      <c r="AC192" s="119"/>
      <c r="AD192" s="149">
        <v>1</v>
      </c>
    </row>
    <row r="193" spans="1:30" ht="140.25" hidden="1" customHeight="1" x14ac:dyDescent="0.3">
      <c r="A193" s="88">
        <v>192</v>
      </c>
      <c r="B193" s="121" t="s">
        <v>685</v>
      </c>
      <c r="C193" s="95"/>
      <c r="D193" s="116"/>
      <c r="E193" s="116" t="s">
        <v>757</v>
      </c>
      <c r="F193" s="95" t="s">
        <v>525</v>
      </c>
      <c r="G193" s="95" t="s">
        <v>34</v>
      </c>
      <c r="H193" s="88" t="s">
        <v>35</v>
      </c>
      <c r="I193" s="129" t="s">
        <v>747</v>
      </c>
      <c r="J193" s="88" t="s">
        <v>35</v>
      </c>
      <c r="K193" s="88" t="s">
        <v>145</v>
      </c>
      <c r="L193" s="117" t="s">
        <v>335</v>
      </c>
      <c r="M193" s="111"/>
      <c r="N193" s="95" t="s">
        <v>474</v>
      </c>
      <c r="O193" s="111"/>
      <c r="P193" s="111"/>
      <c r="Q193" s="111"/>
      <c r="R193" s="111"/>
      <c r="S193" s="95" t="s">
        <v>758</v>
      </c>
      <c r="T193" s="111"/>
      <c r="U193" s="111"/>
      <c r="V193" s="111"/>
      <c r="W193" s="111"/>
      <c r="X193" s="92" t="s">
        <v>91</v>
      </c>
      <c r="Y193" s="111" t="s">
        <v>43</v>
      </c>
      <c r="Z193" s="111"/>
      <c r="AA193" s="92" t="s">
        <v>91</v>
      </c>
      <c r="AB193" s="111" t="s">
        <v>43</v>
      </c>
      <c r="AC193" s="119"/>
      <c r="AD193" s="149">
        <v>1</v>
      </c>
    </row>
    <row r="194" spans="1:30" ht="90" hidden="1" customHeight="1" x14ac:dyDescent="0.3">
      <c r="A194" s="88">
        <v>193</v>
      </c>
      <c r="B194" s="121" t="s">
        <v>685</v>
      </c>
      <c r="C194" s="95" t="s">
        <v>759</v>
      </c>
      <c r="D194" s="113" t="s">
        <v>760</v>
      </c>
      <c r="E194" s="113" t="s">
        <v>761</v>
      </c>
      <c r="F194" s="95" t="s">
        <v>525</v>
      </c>
      <c r="G194" s="95" t="s">
        <v>34</v>
      </c>
      <c r="H194" s="88" t="s">
        <v>35</v>
      </c>
      <c r="I194" s="129" t="s">
        <v>762</v>
      </c>
      <c r="J194" s="88" t="s">
        <v>35</v>
      </c>
      <c r="K194" s="88" t="s">
        <v>38</v>
      </c>
      <c r="L194" s="117" t="s">
        <v>763</v>
      </c>
      <c r="M194" s="111"/>
      <c r="N194" s="111"/>
      <c r="O194" s="111"/>
      <c r="P194" s="111"/>
      <c r="Q194" s="113"/>
      <c r="R194" s="111"/>
      <c r="S194" s="111"/>
      <c r="T194" s="111"/>
      <c r="U194" s="111"/>
      <c r="V194" s="111"/>
      <c r="W194" s="111"/>
      <c r="X194" s="92" t="s">
        <v>91</v>
      </c>
      <c r="Y194" s="88" t="s">
        <v>91</v>
      </c>
      <c r="Z194" s="88"/>
      <c r="AA194" s="92" t="s">
        <v>91</v>
      </c>
      <c r="AB194" s="88" t="s">
        <v>91</v>
      </c>
      <c r="AC194" s="119"/>
      <c r="AD194" s="149">
        <v>1</v>
      </c>
    </row>
    <row r="195" spans="1:30" ht="75" hidden="1" customHeight="1" x14ac:dyDescent="0.3">
      <c r="A195" s="88">
        <v>194</v>
      </c>
      <c r="B195" s="121" t="s">
        <v>685</v>
      </c>
      <c r="C195" s="95" t="s">
        <v>764</v>
      </c>
      <c r="D195" s="113" t="s">
        <v>653</v>
      </c>
      <c r="E195" s="113" t="s">
        <v>765</v>
      </c>
      <c r="F195" s="95" t="s">
        <v>525</v>
      </c>
      <c r="G195" s="95" t="s">
        <v>34</v>
      </c>
      <c r="H195" s="88" t="s">
        <v>37</v>
      </c>
      <c r="I195" s="129" t="s">
        <v>766</v>
      </c>
      <c r="J195" s="88" t="s">
        <v>37</v>
      </c>
      <c r="K195" s="88" t="s">
        <v>38</v>
      </c>
      <c r="L195" s="95" t="s">
        <v>767</v>
      </c>
      <c r="M195" s="111"/>
      <c r="N195" s="111"/>
      <c r="O195" s="111"/>
      <c r="P195" s="111"/>
      <c r="Q195" s="111" t="s">
        <v>768</v>
      </c>
      <c r="R195" s="111"/>
      <c r="S195" s="111"/>
      <c r="T195" s="111"/>
      <c r="U195" s="111"/>
      <c r="V195" s="111"/>
      <c r="W195" s="111"/>
      <c r="X195" s="92" t="s">
        <v>43</v>
      </c>
      <c r="Y195" s="88" t="s">
        <v>79</v>
      </c>
      <c r="Z195" s="88"/>
      <c r="AA195" s="92" t="s">
        <v>43</v>
      </c>
      <c r="AB195" s="88" t="s">
        <v>79</v>
      </c>
      <c r="AC195" s="119"/>
      <c r="AD195" s="149">
        <v>1</v>
      </c>
    </row>
    <row r="196" spans="1:30" ht="135" hidden="1" customHeight="1" x14ac:dyDescent="0.3">
      <c r="A196" s="88">
        <v>195</v>
      </c>
      <c r="B196" s="121" t="s">
        <v>685</v>
      </c>
      <c r="C196" s="95"/>
      <c r="D196" s="113"/>
      <c r="E196" s="113" t="s">
        <v>769</v>
      </c>
      <c r="F196" s="95" t="s">
        <v>525</v>
      </c>
      <c r="G196" s="95" t="s">
        <v>34</v>
      </c>
      <c r="H196" s="88" t="s">
        <v>35</v>
      </c>
      <c r="I196" s="129" t="s">
        <v>766</v>
      </c>
      <c r="J196" s="88" t="s">
        <v>37</v>
      </c>
      <c r="K196" s="88" t="s">
        <v>38</v>
      </c>
      <c r="L196" s="95" t="s">
        <v>693</v>
      </c>
      <c r="M196" s="111"/>
      <c r="N196" s="111"/>
      <c r="O196" s="111"/>
      <c r="P196" s="111"/>
      <c r="Q196" s="111"/>
      <c r="R196" s="111"/>
      <c r="S196" s="111"/>
      <c r="T196" s="111"/>
      <c r="U196" s="111"/>
      <c r="V196" s="111"/>
      <c r="W196" s="111"/>
      <c r="X196" s="92" t="s">
        <v>79</v>
      </c>
      <c r="Y196" s="95" t="s">
        <v>185</v>
      </c>
      <c r="Z196" s="95"/>
      <c r="AA196" s="92" t="s">
        <v>79</v>
      </c>
      <c r="AB196" s="95" t="s">
        <v>185</v>
      </c>
      <c r="AC196" s="119"/>
      <c r="AD196" s="149">
        <v>1</v>
      </c>
    </row>
    <row r="197" spans="1:30" ht="75" hidden="1" customHeight="1" x14ac:dyDescent="0.3">
      <c r="A197" s="88">
        <v>196</v>
      </c>
      <c r="B197" s="121" t="s">
        <v>685</v>
      </c>
      <c r="C197" s="95" t="s">
        <v>770</v>
      </c>
      <c r="D197" s="113" t="s">
        <v>215</v>
      </c>
      <c r="E197" s="113" t="s">
        <v>771</v>
      </c>
      <c r="F197" s="95" t="s">
        <v>525</v>
      </c>
      <c r="G197" s="95" t="s">
        <v>34</v>
      </c>
      <c r="H197" s="88" t="s">
        <v>35</v>
      </c>
      <c r="I197" s="129" t="s">
        <v>772</v>
      </c>
      <c r="J197" s="88" t="s">
        <v>37</v>
      </c>
      <c r="K197" s="88" t="s">
        <v>38</v>
      </c>
      <c r="L197" s="95" t="s">
        <v>767</v>
      </c>
      <c r="M197" s="111"/>
      <c r="N197" s="111"/>
      <c r="O197" s="111"/>
      <c r="P197" s="111"/>
      <c r="Q197" s="111" t="s">
        <v>98</v>
      </c>
      <c r="R197" s="111"/>
      <c r="S197" s="95" t="s">
        <v>98</v>
      </c>
      <c r="T197" s="111"/>
      <c r="U197" s="111"/>
      <c r="V197" s="111"/>
      <c r="W197" s="111"/>
      <c r="X197" s="92" t="s">
        <v>42</v>
      </c>
      <c r="Y197" s="111" t="s">
        <v>43</v>
      </c>
      <c r="Z197" s="111"/>
      <c r="AA197" s="92" t="s">
        <v>42</v>
      </c>
      <c r="AB197" s="111" t="s">
        <v>43</v>
      </c>
      <c r="AC197" s="119"/>
      <c r="AD197" s="149">
        <v>1</v>
      </c>
    </row>
    <row r="198" spans="1:30" ht="75" hidden="1" customHeight="1" x14ac:dyDescent="0.3">
      <c r="A198" s="88">
        <v>197</v>
      </c>
      <c r="B198" s="121" t="s">
        <v>685</v>
      </c>
      <c r="C198" s="95"/>
      <c r="D198" s="113"/>
      <c r="E198" s="113" t="s">
        <v>773</v>
      </c>
      <c r="F198" s="95" t="s">
        <v>525</v>
      </c>
      <c r="G198" s="95" t="s">
        <v>34</v>
      </c>
      <c r="H198" s="88" t="s">
        <v>35</v>
      </c>
      <c r="I198" s="129" t="s">
        <v>762</v>
      </c>
      <c r="J198" s="88" t="s">
        <v>35</v>
      </c>
      <c r="K198" s="88" t="s">
        <v>38</v>
      </c>
      <c r="L198" s="117" t="s">
        <v>693</v>
      </c>
      <c r="M198" s="111"/>
      <c r="N198" s="111"/>
      <c r="O198" s="111"/>
      <c r="P198" s="111"/>
      <c r="Q198" s="95" t="s">
        <v>98</v>
      </c>
      <c r="R198" s="111"/>
      <c r="S198" s="95" t="s">
        <v>774</v>
      </c>
      <c r="T198" s="111"/>
      <c r="U198" s="111"/>
      <c r="V198" s="111"/>
      <c r="W198" s="111"/>
      <c r="X198" s="92" t="s">
        <v>75</v>
      </c>
      <c r="Y198" s="111" t="s">
        <v>42</v>
      </c>
      <c r="Z198" s="111"/>
      <c r="AA198" s="92" t="s">
        <v>75</v>
      </c>
      <c r="AB198" s="111" t="s">
        <v>42</v>
      </c>
      <c r="AC198" s="119"/>
      <c r="AD198" s="149">
        <v>1</v>
      </c>
    </row>
    <row r="199" spans="1:30" ht="90" hidden="1" customHeight="1" x14ac:dyDescent="0.3">
      <c r="A199" s="88">
        <v>198</v>
      </c>
      <c r="B199" s="121" t="s">
        <v>685</v>
      </c>
      <c r="C199" s="95"/>
      <c r="D199" s="113"/>
      <c r="E199" s="113" t="s">
        <v>775</v>
      </c>
      <c r="F199" s="95" t="s">
        <v>525</v>
      </c>
      <c r="G199" s="95" t="s">
        <v>34</v>
      </c>
      <c r="H199" s="88" t="s">
        <v>35</v>
      </c>
      <c r="I199" s="129" t="s">
        <v>747</v>
      </c>
      <c r="J199" s="88" t="s">
        <v>35</v>
      </c>
      <c r="K199" s="88" t="s">
        <v>38</v>
      </c>
      <c r="L199" s="117" t="s">
        <v>693</v>
      </c>
      <c r="M199" s="111"/>
      <c r="N199" s="111"/>
      <c r="O199" s="111"/>
      <c r="P199" s="111"/>
      <c r="Q199" s="95" t="s">
        <v>776</v>
      </c>
      <c r="R199" s="111"/>
      <c r="S199" s="95" t="s">
        <v>98</v>
      </c>
      <c r="T199" s="111"/>
      <c r="U199" s="111"/>
      <c r="V199" s="111"/>
      <c r="W199" s="111"/>
      <c r="X199" s="92" t="s">
        <v>75</v>
      </c>
      <c r="Y199" s="111" t="s">
        <v>75</v>
      </c>
      <c r="Z199" s="111"/>
      <c r="AA199" s="92" t="s">
        <v>75</v>
      </c>
      <c r="AB199" s="111" t="s">
        <v>75</v>
      </c>
      <c r="AC199" s="119"/>
      <c r="AD199" s="149">
        <v>1</v>
      </c>
    </row>
    <row r="200" spans="1:30" ht="90" hidden="1" customHeight="1" x14ac:dyDescent="0.3">
      <c r="A200" s="88">
        <v>199</v>
      </c>
      <c r="B200" s="121" t="s">
        <v>685</v>
      </c>
      <c r="C200" s="95" t="s">
        <v>777</v>
      </c>
      <c r="D200" s="116" t="s">
        <v>568</v>
      </c>
      <c r="E200" s="113" t="s">
        <v>778</v>
      </c>
      <c r="F200" s="95" t="s">
        <v>525</v>
      </c>
      <c r="G200" s="95" t="s">
        <v>34</v>
      </c>
      <c r="H200" s="88" t="s">
        <v>35</v>
      </c>
      <c r="I200" s="129" t="s">
        <v>779</v>
      </c>
      <c r="J200" s="88" t="s">
        <v>35</v>
      </c>
      <c r="K200" s="88" t="s">
        <v>38</v>
      </c>
      <c r="L200" s="117" t="s">
        <v>315</v>
      </c>
      <c r="M200" s="111"/>
      <c r="N200" s="111"/>
      <c r="O200" s="111"/>
      <c r="P200" s="111"/>
      <c r="Q200" s="111"/>
      <c r="R200" s="111"/>
      <c r="S200" s="111"/>
      <c r="T200" s="111"/>
      <c r="U200" s="111"/>
      <c r="V200" s="111"/>
      <c r="W200" s="111"/>
      <c r="X200" s="92" t="s">
        <v>79</v>
      </c>
      <c r="Y200" s="88" t="s">
        <v>75</v>
      </c>
      <c r="Z200" s="88"/>
      <c r="AA200" s="92" t="s">
        <v>79</v>
      </c>
      <c r="AB200" s="88" t="s">
        <v>75</v>
      </c>
      <c r="AC200" s="119"/>
      <c r="AD200" s="149">
        <v>1</v>
      </c>
    </row>
    <row r="201" spans="1:30" ht="60" hidden="1" customHeight="1" x14ac:dyDescent="0.3">
      <c r="A201" s="88">
        <v>200</v>
      </c>
      <c r="B201" s="121" t="s">
        <v>685</v>
      </c>
      <c r="C201" s="95"/>
      <c r="D201" s="116"/>
      <c r="E201" s="116" t="s">
        <v>780</v>
      </c>
      <c r="F201" s="95" t="s">
        <v>525</v>
      </c>
      <c r="G201" s="95" t="s">
        <v>34</v>
      </c>
      <c r="H201" s="88" t="s">
        <v>37</v>
      </c>
      <c r="I201" s="129" t="s">
        <v>779</v>
      </c>
      <c r="J201" s="88" t="s">
        <v>35</v>
      </c>
      <c r="K201" s="88" t="s">
        <v>38</v>
      </c>
      <c r="L201" s="117" t="s">
        <v>315</v>
      </c>
      <c r="M201" s="111" t="s">
        <v>197</v>
      </c>
      <c r="N201" s="95" t="s">
        <v>781</v>
      </c>
      <c r="O201" s="111"/>
      <c r="P201" s="95" t="s">
        <v>153</v>
      </c>
      <c r="Q201" s="95" t="s">
        <v>782</v>
      </c>
      <c r="R201" s="95" t="s">
        <v>59</v>
      </c>
      <c r="S201" s="95" t="s">
        <v>556</v>
      </c>
      <c r="T201" s="111"/>
      <c r="U201" s="111"/>
      <c r="V201" s="111"/>
      <c r="W201" s="111"/>
      <c r="X201" s="92" t="s">
        <v>42</v>
      </c>
      <c r="Y201" s="111" t="s">
        <v>43</v>
      </c>
      <c r="Z201" s="111"/>
      <c r="AA201" s="92" t="s">
        <v>42</v>
      </c>
      <c r="AB201" s="111" t="s">
        <v>43</v>
      </c>
      <c r="AC201" s="119"/>
      <c r="AD201" s="149">
        <v>1</v>
      </c>
    </row>
    <row r="202" spans="1:30" ht="75" hidden="1" customHeight="1" x14ac:dyDescent="0.3">
      <c r="A202" s="88">
        <v>201</v>
      </c>
      <c r="B202" s="121" t="s">
        <v>685</v>
      </c>
      <c r="C202" s="95"/>
      <c r="D202" s="116"/>
      <c r="E202" s="116" t="s">
        <v>783</v>
      </c>
      <c r="F202" s="95" t="s">
        <v>525</v>
      </c>
      <c r="G202" s="95" t="s">
        <v>34</v>
      </c>
      <c r="H202" s="88" t="s">
        <v>35</v>
      </c>
      <c r="I202" s="129" t="s">
        <v>779</v>
      </c>
      <c r="J202" s="88" t="s">
        <v>35</v>
      </c>
      <c r="K202" s="88" t="s">
        <v>145</v>
      </c>
      <c r="L202" s="117" t="s">
        <v>315</v>
      </c>
      <c r="M202" s="95" t="s">
        <v>150</v>
      </c>
      <c r="N202" s="95" t="s">
        <v>352</v>
      </c>
      <c r="O202" s="111"/>
      <c r="P202" s="95" t="s">
        <v>57</v>
      </c>
      <c r="Q202" s="95" t="s">
        <v>575</v>
      </c>
      <c r="R202" s="111"/>
      <c r="S202" s="111"/>
      <c r="T202" s="111"/>
      <c r="U202" s="111"/>
      <c r="V202" s="111"/>
      <c r="W202" s="111"/>
      <c r="X202" s="92" t="s">
        <v>43</v>
      </c>
      <c r="Y202" s="111" t="s">
        <v>79</v>
      </c>
      <c r="Z202" s="111"/>
      <c r="AA202" s="92" t="s">
        <v>43</v>
      </c>
      <c r="AB202" s="111" t="s">
        <v>79</v>
      </c>
      <c r="AC202" s="119"/>
      <c r="AD202" s="149">
        <v>1</v>
      </c>
    </row>
    <row r="203" spans="1:30" ht="75" hidden="1" customHeight="1" x14ac:dyDescent="0.3">
      <c r="A203" s="88">
        <v>202</v>
      </c>
      <c r="B203" s="121" t="s">
        <v>685</v>
      </c>
      <c r="C203" s="95"/>
      <c r="D203" s="116"/>
      <c r="E203" s="116" t="s">
        <v>784</v>
      </c>
      <c r="F203" s="95" t="s">
        <v>525</v>
      </c>
      <c r="G203" s="95" t="s">
        <v>34</v>
      </c>
      <c r="H203" s="88" t="s">
        <v>35</v>
      </c>
      <c r="I203" s="129" t="s">
        <v>779</v>
      </c>
      <c r="J203" s="88" t="s">
        <v>35</v>
      </c>
      <c r="K203" s="88" t="s">
        <v>38</v>
      </c>
      <c r="L203" s="117" t="s">
        <v>315</v>
      </c>
      <c r="M203" s="95" t="s">
        <v>150</v>
      </c>
      <c r="N203" s="95" t="s">
        <v>352</v>
      </c>
      <c r="O203" s="111"/>
      <c r="P203" s="95" t="s">
        <v>57</v>
      </c>
      <c r="Q203" s="95" t="s">
        <v>284</v>
      </c>
      <c r="R203" s="111"/>
      <c r="S203" s="111"/>
      <c r="T203" s="111"/>
      <c r="U203" s="111"/>
      <c r="V203" s="111"/>
      <c r="W203" s="111"/>
      <c r="X203" s="92" t="s">
        <v>42</v>
      </c>
      <c r="Y203" s="111" t="s">
        <v>185</v>
      </c>
      <c r="Z203" s="111"/>
      <c r="AA203" s="92" t="s">
        <v>42</v>
      </c>
      <c r="AB203" s="111" t="s">
        <v>185</v>
      </c>
      <c r="AC203" s="119"/>
      <c r="AD203" s="149">
        <v>1</v>
      </c>
    </row>
    <row r="204" spans="1:30" ht="60" hidden="1" customHeight="1" x14ac:dyDescent="0.3">
      <c r="A204" s="88">
        <v>203</v>
      </c>
      <c r="B204" s="121" t="s">
        <v>685</v>
      </c>
      <c r="C204" s="95"/>
      <c r="D204" s="116"/>
      <c r="E204" s="116" t="s">
        <v>614</v>
      </c>
      <c r="F204" s="95" t="s">
        <v>525</v>
      </c>
      <c r="G204" s="95" t="s">
        <v>34</v>
      </c>
      <c r="H204" s="88" t="s">
        <v>35</v>
      </c>
      <c r="I204" s="129" t="s">
        <v>779</v>
      </c>
      <c r="J204" s="88" t="s">
        <v>35</v>
      </c>
      <c r="K204" s="88" t="s">
        <v>38</v>
      </c>
      <c r="L204" s="117" t="s">
        <v>315</v>
      </c>
      <c r="M204" s="95" t="s">
        <v>150</v>
      </c>
      <c r="N204" s="95" t="s">
        <v>352</v>
      </c>
      <c r="O204" s="111">
        <v>101122</v>
      </c>
      <c r="P204" s="95"/>
      <c r="Q204" s="95"/>
      <c r="R204" s="95" t="s">
        <v>62</v>
      </c>
      <c r="S204" s="95" t="s">
        <v>785</v>
      </c>
      <c r="T204" s="111"/>
      <c r="U204" s="111"/>
      <c r="V204" s="111"/>
      <c r="W204" s="111"/>
      <c r="X204" s="92" t="s">
        <v>79</v>
      </c>
      <c r="Y204" s="111" t="s">
        <v>43</v>
      </c>
      <c r="Z204" s="111"/>
      <c r="AA204" s="92" t="s">
        <v>79</v>
      </c>
      <c r="AB204" s="111" t="s">
        <v>43</v>
      </c>
      <c r="AC204" s="119"/>
      <c r="AD204" s="149">
        <v>1</v>
      </c>
    </row>
    <row r="205" spans="1:30" ht="60" hidden="1" customHeight="1" x14ac:dyDescent="0.3">
      <c r="A205" s="88">
        <v>204</v>
      </c>
      <c r="B205" s="121" t="s">
        <v>685</v>
      </c>
      <c r="C205" s="95"/>
      <c r="D205" s="116"/>
      <c r="E205" s="116" t="s">
        <v>786</v>
      </c>
      <c r="F205" s="95" t="s">
        <v>525</v>
      </c>
      <c r="G205" s="95" t="s">
        <v>34</v>
      </c>
      <c r="H205" s="88" t="s">
        <v>35</v>
      </c>
      <c r="I205" s="129" t="s">
        <v>779</v>
      </c>
      <c r="J205" s="88" t="s">
        <v>35</v>
      </c>
      <c r="K205" s="88" t="s">
        <v>38</v>
      </c>
      <c r="L205" s="117" t="s">
        <v>315</v>
      </c>
      <c r="M205" s="95" t="s">
        <v>150</v>
      </c>
      <c r="N205" s="95" t="s">
        <v>352</v>
      </c>
      <c r="O205" s="111">
        <v>142926</v>
      </c>
      <c r="P205" s="95"/>
      <c r="Q205" s="95"/>
      <c r="R205" s="95" t="s">
        <v>62</v>
      </c>
      <c r="S205" s="95" t="s">
        <v>728</v>
      </c>
      <c r="T205" s="111"/>
      <c r="U205" s="111"/>
      <c r="V205" s="111"/>
      <c r="W205" s="111"/>
      <c r="X205" s="92" t="s">
        <v>79</v>
      </c>
      <c r="Y205" s="111" t="s">
        <v>42</v>
      </c>
      <c r="Z205" s="111"/>
      <c r="AA205" s="92" t="s">
        <v>79</v>
      </c>
      <c r="AB205" s="111" t="s">
        <v>42</v>
      </c>
      <c r="AC205" s="119"/>
      <c r="AD205" s="149">
        <v>1</v>
      </c>
    </row>
    <row r="206" spans="1:30" ht="120" hidden="1" customHeight="1" x14ac:dyDescent="0.3">
      <c r="A206" s="88">
        <v>205</v>
      </c>
      <c r="B206" s="121" t="s">
        <v>685</v>
      </c>
      <c r="C206" s="95" t="s">
        <v>787</v>
      </c>
      <c r="D206" s="116" t="s">
        <v>788</v>
      </c>
      <c r="E206" s="116" t="s">
        <v>789</v>
      </c>
      <c r="F206" s="95" t="s">
        <v>525</v>
      </c>
      <c r="G206" s="95" t="s">
        <v>34</v>
      </c>
      <c r="H206" s="88" t="s">
        <v>35</v>
      </c>
      <c r="I206" s="129" t="s">
        <v>790</v>
      </c>
      <c r="J206" s="88" t="s">
        <v>35</v>
      </c>
      <c r="K206" s="88" t="s">
        <v>38</v>
      </c>
      <c r="L206" s="117" t="s">
        <v>315</v>
      </c>
      <c r="M206" s="95" t="s">
        <v>150</v>
      </c>
      <c r="N206" s="95" t="s">
        <v>474</v>
      </c>
      <c r="O206" s="111"/>
      <c r="P206" s="111"/>
      <c r="Q206" s="111"/>
      <c r="R206" s="95" t="s">
        <v>153</v>
      </c>
      <c r="S206" s="95" t="s">
        <v>791</v>
      </c>
      <c r="T206" s="111"/>
      <c r="U206" s="111"/>
      <c r="V206" s="111"/>
      <c r="W206" s="111"/>
      <c r="X206" s="92" t="s">
        <v>91</v>
      </c>
      <c r="Y206" s="111" t="s">
        <v>42</v>
      </c>
      <c r="Z206" s="111"/>
      <c r="AA206" s="92" t="s">
        <v>91</v>
      </c>
      <c r="AB206" s="111" t="s">
        <v>42</v>
      </c>
      <c r="AC206" s="119"/>
      <c r="AD206" s="149">
        <v>1</v>
      </c>
    </row>
    <row r="207" spans="1:30" ht="105" hidden="1" customHeight="1" x14ac:dyDescent="0.3">
      <c r="A207" s="88">
        <v>206</v>
      </c>
      <c r="B207" s="121" t="s">
        <v>685</v>
      </c>
      <c r="C207" s="95" t="s">
        <v>792</v>
      </c>
      <c r="D207" s="116" t="s">
        <v>793</v>
      </c>
      <c r="E207" s="116" t="s">
        <v>156</v>
      </c>
      <c r="F207" s="95" t="s">
        <v>525</v>
      </c>
      <c r="G207" s="95" t="s">
        <v>34</v>
      </c>
      <c r="H207" s="88" t="s">
        <v>35</v>
      </c>
      <c r="I207" s="129" t="s">
        <v>794</v>
      </c>
      <c r="J207" s="88" t="s">
        <v>35</v>
      </c>
      <c r="K207" s="88" t="s">
        <v>38</v>
      </c>
      <c r="L207" s="117" t="s">
        <v>315</v>
      </c>
      <c r="M207" s="95" t="s">
        <v>48</v>
      </c>
      <c r="N207" s="95" t="s">
        <v>795</v>
      </c>
      <c r="O207" s="111">
        <v>4621213.37</v>
      </c>
      <c r="P207" s="95" t="s">
        <v>57</v>
      </c>
      <c r="Q207" s="95" t="s">
        <v>98</v>
      </c>
      <c r="R207" s="95" t="s">
        <v>59</v>
      </c>
      <c r="S207" s="95" t="s">
        <v>791</v>
      </c>
      <c r="T207" s="111"/>
      <c r="U207" s="111"/>
      <c r="V207" s="111"/>
      <c r="W207" s="111"/>
      <c r="X207" s="92" t="s">
        <v>42</v>
      </c>
      <c r="Y207" s="111" t="s">
        <v>43</v>
      </c>
      <c r="Z207" s="111"/>
      <c r="AA207" s="92" t="s">
        <v>42</v>
      </c>
      <c r="AB207" s="111" t="s">
        <v>43</v>
      </c>
      <c r="AC207" s="119"/>
      <c r="AD207" s="149">
        <v>1</v>
      </c>
    </row>
    <row r="208" spans="1:30" ht="105" hidden="1" customHeight="1" x14ac:dyDescent="0.3">
      <c r="A208" s="88">
        <v>207</v>
      </c>
      <c r="B208" s="121" t="s">
        <v>685</v>
      </c>
      <c r="C208" s="95"/>
      <c r="D208" s="116"/>
      <c r="E208" s="116" t="s">
        <v>295</v>
      </c>
      <c r="F208" s="95" t="s">
        <v>525</v>
      </c>
      <c r="G208" s="95" t="s">
        <v>34</v>
      </c>
      <c r="H208" s="88" t="s">
        <v>35</v>
      </c>
      <c r="I208" s="129" t="s">
        <v>747</v>
      </c>
      <c r="J208" s="88" t="s">
        <v>35</v>
      </c>
      <c r="K208" s="88" t="s">
        <v>38</v>
      </c>
      <c r="L208" s="117" t="s">
        <v>315</v>
      </c>
      <c r="M208" s="95" t="s">
        <v>159</v>
      </c>
      <c r="N208" s="95" t="s">
        <v>796</v>
      </c>
      <c r="O208" s="111">
        <v>3695280.56</v>
      </c>
      <c r="P208" s="95" t="s">
        <v>153</v>
      </c>
      <c r="Q208" s="95" t="s">
        <v>797</v>
      </c>
      <c r="R208" s="95" t="s">
        <v>61</v>
      </c>
      <c r="S208" s="95" t="s">
        <v>108</v>
      </c>
      <c r="T208" s="111"/>
      <c r="U208" s="111"/>
      <c r="V208" s="111"/>
      <c r="W208" s="111"/>
      <c r="X208" s="92" t="s">
        <v>75</v>
      </c>
      <c r="Y208" s="111" t="s">
        <v>43</v>
      </c>
      <c r="Z208" s="111"/>
      <c r="AA208" s="92" t="s">
        <v>75</v>
      </c>
      <c r="AB208" s="111" t="s">
        <v>43</v>
      </c>
      <c r="AC208" s="119"/>
      <c r="AD208" s="149">
        <v>1</v>
      </c>
    </row>
    <row r="209" spans="1:30" ht="105" hidden="1" customHeight="1" x14ac:dyDescent="0.3">
      <c r="A209" s="88">
        <v>208</v>
      </c>
      <c r="B209" s="121" t="s">
        <v>685</v>
      </c>
      <c r="C209" s="95"/>
      <c r="D209" s="116"/>
      <c r="E209" s="116" t="s">
        <v>798</v>
      </c>
      <c r="F209" s="95" t="s">
        <v>525</v>
      </c>
      <c r="G209" s="95" t="s">
        <v>34</v>
      </c>
      <c r="H209" s="88" t="s">
        <v>35</v>
      </c>
      <c r="I209" s="129" t="s">
        <v>747</v>
      </c>
      <c r="J209" s="88" t="s">
        <v>35</v>
      </c>
      <c r="K209" s="88" t="s">
        <v>38</v>
      </c>
      <c r="L209" s="117" t="s">
        <v>315</v>
      </c>
      <c r="M209" s="95" t="s">
        <v>251</v>
      </c>
      <c r="N209" s="95" t="s">
        <v>799</v>
      </c>
      <c r="O209" s="111">
        <v>3904340.94</v>
      </c>
      <c r="P209" s="95" t="s">
        <v>59</v>
      </c>
      <c r="Q209" s="95" t="s">
        <v>800</v>
      </c>
      <c r="R209" s="95" t="s">
        <v>57</v>
      </c>
      <c r="S209" s="95" t="s">
        <v>801</v>
      </c>
      <c r="T209" s="111"/>
      <c r="U209" s="111"/>
      <c r="V209" s="111"/>
      <c r="W209" s="111"/>
      <c r="X209" s="92" t="s">
        <v>42</v>
      </c>
      <c r="Y209" s="111" t="s">
        <v>43</v>
      </c>
      <c r="Z209" s="111"/>
      <c r="AA209" s="92" t="s">
        <v>42</v>
      </c>
      <c r="AB209" s="111" t="s">
        <v>43</v>
      </c>
      <c r="AC209" s="119"/>
      <c r="AD209" s="149">
        <v>1</v>
      </c>
    </row>
    <row r="210" spans="1:30" ht="60" hidden="1" customHeight="1" x14ac:dyDescent="0.3">
      <c r="A210" s="88">
        <v>209</v>
      </c>
      <c r="B210" s="121" t="s">
        <v>685</v>
      </c>
      <c r="C210" s="95" t="s">
        <v>802</v>
      </c>
      <c r="D210" s="113" t="s">
        <v>803</v>
      </c>
      <c r="E210" s="113" t="s">
        <v>804</v>
      </c>
      <c r="F210" s="95" t="s">
        <v>525</v>
      </c>
      <c r="G210" s="95" t="s">
        <v>34</v>
      </c>
      <c r="H210" s="88" t="s">
        <v>35</v>
      </c>
      <c r="I210" s="129" t="s">
        <v>739</v>
      </c>
      <c r="J210" s="88" t="s">
        <v>35</v>
      </c>
      <c r="K210" s="88" t="s">
        <v>38</v>
      </c>
      <c r="L210" s="117" t="s">
        <v>78</v>
      </c>
      <c r="M210" s="111"/>
      <c r="N210" s="111"/>
      <c r="O210" s="111"/>
      <c r="P210" s="111"/>
      <c r="Q210" s="111"/>
      <c r="R210" s="111"/>
      <c r="S210" s="111"/>
      <c r="T210" s="111"/>
      <c r="U210" s="111"/>
      <c r="V210" s="111"/>
      <c r="W210" s="111"/>
      <c r="X210" s="92" t="s">
        <v>91</v>
      </c>
      <c r="Y210" s="88" t="s">
        <v>79</v>
      </c>
      <c r="Z210" s="88"/>
      <c r="AA210" s="92" t="s">
        <v>91</v>
      </c>
      <c r="AB210" s="88" t="s">
        <v>79</v>
      </c>
      <c r="AC210" s="119"/>
      <c r="AD210" s="149">
        <v>1</v>
      </c>
    </row>
    <row r="211" spans="1:30" ht="60" hidden="1" customHeight="1" x14ac:dyDescent="0.3">
      <c r="A211" s="88">
        <v>210</v>
      </c>
      <c r="B211" s="121" t="s">
        <v>685</v>
      </c>
      <c r="C211" s="95" t="s">
        <v>805</v>
      </c>
      <c r="D211" s="113" t="s">
        <v>806</v>
      </c>
      <c r="E211" s="113" t="s">
        <v>621</v>
      </c>
      <c r="F211" s="95" t="s">
        <v>525</v>
      </c>
      <c r="G211" s="95" t="s">
        <v>34</v>
      </c>
      <c r="H211" s="88" t="s">
        <v>35</v>
      </c>
      <c r="I211" s="129" t="s">
        <v>739</v>
      </c>
      <c r="J211" s="88" t="s">
        <v>35</v>
      </c>
      <c r="K211" s="88" t="s">
        <v>38</v>
      </c>
      <c r="L211" s="117" t="s">
        <v>326</v>
      </c>
      <c r="M211" s="111"/>
      <c r="N211" s="111"/>
      <c r="O211" s="111"/>
      <c r="P211" s="111"/>
      <c r="Q211" s="111"/>
      <c r="R211" s="111"/>
      <c r="S211" s="111"/>
      <c r="T211" s="111"/>
      <c r="U211" s="111"/>
      <c r="V211" s="111"/>
      <c r="W211" s="111"/>
      <c r="X211" s="92" t="s">
        <v>75</v>
      </c>
      <c r="Y211" s="111" t="s">
        <v>79</v>
      </c>
      <c r="Z211" s="111"/>
      <c r="AA211" s="92" t="s">
        <v>75</v>
      </c>
      <c r="AB211" s="111" t="s">
        <v>79</v>
      </c>
      <c r="AC211" s="119"/>
      <c r="AD211" s="149">
        <v>1</v>
      </c>
    </row>
    <row r="212" spans="1:30" ht="60" hidden="1" customHeight="1" x14ac:dyDescent="0.3">
      <c r="A212" s="88">
        <v>211</v>
      </c>
      <c r="B212" s="121" t="s">
        <v>685</v>
      </c>
      <c r="C212" s="95" t="s">
        <v>807</v>
      </c>
      <c r="D212" s="113" t="s">
        <v>808</v>
      </c>
      <c r="E212" s="113" t="s">
        <v>809</v>
      </c>
      <c r="F212" s="95" t="s">
        <v>525</v>
      </c>
      <c r="G212" s="95" t="s">
        <v>34</v>
      </c>
      <c r="H212" s="88" t="s">
        <v>35</v>
      </c>
      <c r="I212" s="129" t="s">
        <v>762</v>
      </c>
      <c r="J212" s="88" t="s">
        <v>35</v>
      </c>
      <c r="K212" s="88" t="s">
        <v>38</v>
      </c>
      <c r="L212" s="117" t="s">
        <v>326</v>
      </c>
      <c r="M212" s="111"/>
      <c r="N212" s="111"/>
      <c r="O212" s="111"/>
      <c r="P212" s="111"/>
      <c r="Q212" s="111"/>
      <c r="R212" s="111"/>
      <c r="S212" s="111"/>
      <c r="T212" s="111"/>
      <c r="U212" s="111"/>
      <c r="V212" s="111"/>
      <c r="W212" s="111"/>
      <c r="X212" s="92" t="s">
        <v>79</v>
      </c>
      <c r="Y212" s="111" t="s">
        <v>79</v>
      </c>
      <c r="Z212" s="111"/>
      <c r="AA212" s="92" t="s">
        <v>79</v>
      </c>
      <c r="AB212" s="111" t="s">
        <v>79</v>
      </c>
      <c r="AC212" s="119"/>
      <c r="AD212" s="149">
        <v>1</v>
      </c>
    </row>
    <row r="213" spans="1:30" ht="60" hidden="1" customHeight="1" x14ac:dyDescent="0.3">
      <c r="A213" s="88">
        <v>212</v>
      </c>
      <c r="B213" s="121" t="s">
        <v>685</v>
      </c>
      <c r="C213" s="95" t="s">
        <v>810</v>
      </c>
      <c r="D213" s="116" t="s">
        <v>811</v>
      </c>
      <c r="E213" s="116" t="s">
        <v>812</v>
      </c>
      <c r="F213" s="95" t="s">
        <v>525</v>
      </c>
      <c r="G213" s="95" t="s">
        <v>34</v>
      </c>
      <c r="H213" s="88" t="s">
        <v>35</v>
      </c>
      <c r="I213" s="129" t="s">
        <v>762</v>
      </c>
      <c r="J213" s="88" t="s">
        <v>35</v>
      </c>
      <c r="K213" s="88" t="s">
        <v>38</v>
      </c>
      <c r="L213" s="117" t="s">
        <v>326</v>
      </c>
      <c r="M213" s="111"/>
      <c r="N213" s="111"/>
      <c r="O213" s="111"/>
      <c r="P213" s="111"/>
      <c r="Q213" s="111"/>
      <c r="R213" s="111"/>
      <c r="S213" s="111"/>
      <c r="T213" s="111"/>
      <c r="U213" s="111"/>
      <c r="V213" s="111"/>
      <c r="W213" s="111"/>
      <c r="X213" s="92" t="s">
        <v>91</v>
      </c>
      <c r="Y213" s="111" t="s">
        <v>42</v>
      </c>
      <c r="Z213" s="111"/>
      <c r="AA213" s="92" t="s">
        <v>91</v>
      </c>
      <c r="AB213" s="111" t="s">
        <v>42</v>
      </c>
      <c r="AC213" s="119"/>
      <c r="AD213" s="149">
        <v>1</v>
      </c>
    </row>
    <row r="214" spans="1:30" ht="60" hidden="1" customHeight="1" x14ac:dyDescent="0.3">
      <c r="A214" s="88">
        <v>213</v>
      </c>
      <c r="B214" s="121" t="s">
        <v>685</v>
      </c>
      <c r="C214" s="95"/>
      <c r="D214" s="116"/>
      <c r="E214" s="116" t="s">
        <v>813</v>
      </c>
      <c r="F214" s="95" t="s">
        <v>525</v>
      </c>
      <c r="G214" s="95" t="s">
        <v>34</v>
      </c>
      <c r="H214" s="88" t="s">
        <v>35</v>
      </c>
      <c r="I214" s="129" t="s">
        <v>814</v>
      </c>
      <c r="J214" s="88" t="s">
        <v>37</v>
      </c>
      <c r="K214" s="88" t="s">
        <v>38</v>
      </c>
      <c r="L214" s="117" t="s">
        <v>326</v>
      </c>
      <c r="M214" s="111"/>
      <c r="N214" s="111"/>
      <c r="O214" s="111"/>
      <c r="P214" s="111"/>
      <c r="Q214" s="111"/>
      <c r="R214" s="111"/>
      <c r="S214" s="111"/>
      <c r="T214" s="111"/>
      <c r="U214" s="111"/>
      <c r="V214" s="111"/>
      <c r="W214" s="111"/>
      <c r="X214" s="92" t="s">
        <v>42</v>
      </c>
      <c r="Y214" s="111" t="s">
        <v>79</v>
      </c>
      <c r="Z214" s="111"/>
      <c r="AA214" s="92" t="s">
        <v>42</v>
      </c>
      <c r="AB214" s="111" t="s">
        <v>79</v>
      </c>
      <c r="AC214" s="119"/>
      <c r="AD214" s="149">
        <v>1</v>
      </c>
    </row>
    <row r="215" spans="1:30" ht="60" hidden="1" customHeight="1" x14ac:dyDescent="0.3">
      <c r="A215" s="88">
        <v>214</v>
      </c>
      <c r="B215" s="121" t="s">
        <v>685</v>
      </c>
      <c r="C215" s="95"/>
      <c r="D215" s="116"/>
      <c r="E215" s="116" t="s">
        <v>815</v>
      </c>
      <c r="F215" s="95" t="s">
        <v>525</v>
      </c>
      <c r="G215" s="95" t="s">
        <v>34</v>
      </c>
      <c r="H215" s="88" t="s">
        <v>35</v>
      </c>
      <c r="I215" s="129" t="s">
        <v>816</v>
      </c>
      <c r="J215" s="88" t="s">
        <v>37</v>
      </c>
      <c r="K215" s="88" t="s">
        <v>38</v>
      </c>
      <c r="L215" s="117" t="s">
        <v>326</v>
      </c>
      <c r="M215" s="111"/>
      <c r="N215" s="111"/>
      <c r="O215" s="111"/>
      <c r="P215" s="111"/>
      <c r="Q215" s="111"/>
      <c r="R215" s="111"/>
      <c r="S215" s="111"/>
      <c r="T215" s="111"/>
      <c r="U215" s="111"/>
      <c r="V215" s="111"/>
      <c r="W215" s="111"/>
      <c r="X215" s="92" t="s">
        <v>79</v>
      </c>
      <c r="Y215" s="111" t="s">
        <v>185</v>
      </c>
      <c r="Z215" s="111"/>
      <c r="AA215" s="92" t="s">
        <v>79</v>
      </c>
      <c r="AB215" s="111" t="s">
        <v>185</v>
      </c>
      <c r="AC215" s="119"/>
      <c r="AD215" s="149">
        <v>1</v>
      </c>
    </row>
    <row r="216" spans="1:30" ht="60" hidden="1" customHeight="1" x14ac:dyDescent="0.3">
      <c r="A216" s="88">
        <v>215</v>
      </c>
      <c r="B216" s="121" t="s">
        <v>685</v>
      </c>
      <c r="C216" s="95"/>
      <c r="D216" s="116"/>
      <c r="E216" s="116" t="s">
        <v>817</v>
      </c>
      <c r="F216" s="95" t="s">
        <v>525</v>
      </c>
      <c r="G216" s="95" t="s">
        <v>34</v>
      </c>
      <c r="H216" s="88" t="s">
        <v>37</v>
      </c>
      <c r="I216" s="129" t="s">
        <v>762</v>
      </c>
      <c r="J216" s="88" t="s">
        <v>35</v>
      </c>
      <c r="K216" s="88" t="s">
        <v>38</v>
      </c>
      <c r="L216" s="117" t="s">
        <v>326</v>
      </c>
      <c r="M216" s="111"/>
      <c r="N216" s="111"/>
      <c r="O216" s="111"/>
      <c r="P216" s="111"/>
      <c r="Q216" s="111"/>
      <c r="R216" s="111"/>
      <c r="S216" s="111"/>
      <c r="T216" s="111"/>
      <c r="U216" s="111"/>
      <c r="V216" s="111"/>
      <c r="W216" s="111"/>
      <c r="X216" s="92" t="s">
        <v>91</v>
      </c>
      <c r="Y216" s="111" t="s">
        <v>75</v>
      </c>
      <c r="Z216" s="111"/>
      <c r="AA216" s="92" t="s">
        <v>91</v>
      </c>
      <c r="AB216" s="111" t="s">
        <v>75</v>
      </c>
      <c r="AC216" s="119"/>
      <c r="AD216" s="149">
        <v>1</v>
      </c>
    </row>
    <row r="217" spans="1:30" ht="60" hidden="1" customHeight="1" x14ac:dyDescent="0.3">
      <c r="A217" s="88">
        <v>216</v>
      </c>
      <c r="B217" s="121" t="s">
        <v>685</v>
      </c>
      <c r="C217" s="95" t="s">
        <v>818</v>
      </c>
      <c r="D217" s="116" t="s">
        <v>819</v>
      </c>
      <c r="E217" s="116" t="s">
        <v>820</v>
      </c>
      <c r="F217" s="95" t="s">
        <v>525</v>
      </c>
      <c r="G217" s="95" t="s">
        <v>34</v>
      </c>
      <c r="H217" s="88" t="s">
        <v>35</v>
      </c>
      <c r="I217" s="129" t="s">
        <v>821</v>
      </c>
      <c r="J217" s="88" t="s">
        <v>35</v>
      </c>
      <c r="K217" s="88" t="s">
        <v>38</v>
      </c>
      <c r="L217" s="117" t="s">
        <v>78</v>
      </c>
      <c r="M217" s="111"/>
      <c r="N217" s="111"/>
      <c r="O217" s="111"/>
      <c r="P217" s="111"/>
      <c r="Q217" s="111"/>
      <c r="R217" s="111"/>
      <c r="S217" s="111"/>
      <c r="T217" s="111"/>
      <c r="U217" s="111"/>
      <c r="V217" s="111"/>
      <c r="W217" s="111"/>
      <c r="X217" s="92" t="s">
        <v>79</v>
      </c>
      <c r="Y217" s="88" t="s">
        <v>43</v>
      </c>
      <c r="Z217" s="88"/>
      <c r="AA217" s="92" t="s">
        <v>79</v>
      </c>
      <c r="AB217" s="88" t="s">
        <v>43</v>
      </c>
      <c r="AC217" s="119"/>
      <c r="AD217" s="149">
        <v>1</v>
      </c>
    </row>
    <row r="218" spans="1:30" ht="60" hidden="1" customHeight="1" x14ac:dyDescent="0.3">
      <c r="A218" s="88">
        <v>217</v>
      </c>
      <c r="B218" s="121" t="s">
        <v>685</v>
      </c>
      <c r="C218" s="95" t="s">
        <v>822</v>
      </c>
      <c r="D218" s="116" t="s">
        <v>349</v>
      </c>
      <c r="E218" s="116" t="s">
        <v>823</v>
      </c>
      <c r="F218" s="95" t="s">
        <v>525</v>
      </c>
      <c r="G218" s="95" t="s">
        <v>34</v>
      </c>
      <c r="H218" s="88" t="s">
        <v>35</v>
      </c>
      <c r="I218" s="129" t="s">
        <v>824</v>
      </c>
      <c r="J218" s="88" t="s">
        <v>35</v>
      </c>
      <c r="K218" s="88" t="s">
        <v>38</v>
      </c>
      <c r="L218" s="117" t="s">
        <v>326</v>
      </c>
      <c r="M218" s="111"/>
      <c r="N218" s="111"/>
      <c r="O218" s="111"/>
      <c r="P218" s="111"/>
      <c r="Q218" s="111"/>
      <c r="R218" s="111"/>
      <c r="S218" s="111"/>
      <c r="T218" s="111"/>
      <c r="U218" s="111"/>
      <c r="V218" s="111"/>
      <c r="W218" s="111"/>
      <c r="X218" s="92" t="s">
        <v>185</v>
      </c>
      <c r="Y218" s="88" t="s">
        <v>79</v>
      </c>
      <c r="Z218" s="88"/>
      <c r="AA218" s="92" t="s">
        <v>185</v>
      </c>
      <c r="AB218" s="88" t="s">
        <v>79</v>
      </c>
      <c r="AC218" s="119"/>
      <c r="AD218" s="149">
        <v>1</v>
      </c>
    </row>
    <row r="219" spans="1:30" ht="60" hidden="1" customHeight="1" x14ac:dyDescent="0.3">
      <c r="A219" s="88">
        <v>218</v>
      </c>
      <c r="B219" s="121" t="s">
        <v>685</v>
      </c>
      <c r="C219" s="95" t="s">
        <v>825</v>
      </c>
      <c r="D219" s="116" t="s">
        <v>826</v>
      </c>
      <c r="E219" s="116" t="s">
        <v>679</v>
      </c>
      <c r="F219" s="95" t="s">
        <v>525</v>
      </c>
      <c r="G219" s="95" t="s">
        <v>34</v>
      </c>
      <c r="H219" s="88" t="s">
        <v>37</v>
      </c>
      <c r="I219" s="129" t="s">
        <v>827</v>
      </c>
      <c r="J219" s="88" t="s">
        <v>35</v>
      </c>
      <c r="K219" s="88" t="s">
        <v>145</v>
      </c>
      <c r="L219" s="117" t="s">
        <v>693</v>
      </c>
      <c r="M219" s="111"/>
      <c r="N219" s="111"/>
      <c r="O219" s="111"/>
      <c r="P219" s="111"/>
      <c r="Q219" s="95" t="s">
        <v>800</v>
      </c>
      <c r="R219" s="111"/>
      <c r="S219" s="111"/>
      <c r="T219" s="111"/>
      <c r="U219" s="111"/>
      <c r="V219" s="111"/>
      <c r="W219" s="111"/>
      <c r="X219" s="92" t="s">
        <v>75</v>
      </c>
      <c r="Y219" s="111" t="s">
        <v>79</v>
      </c>
      <c r="Z219" s="111"/>
      <c r="AA219" s="92" t="s">
        <v>75</v>
      </c>
      <c r="AB219" s="111" t="s">
        <v>79</v>
      </c>
      <c r="AC219" s="119"/>
      <c r="AD219" s="149">
        <v>1</v>
      </c>
    </row>
    <row r="220" spans="1:30" ht="60" hidden="1" customHeight="1" x14ac:dyDescent="0.3">
      <c r="A220" s="88">
        <v>219</v>
      </c>
      <c r="B220" s="121" t="s">
        <v>685</v>
      </c>
      <c r="C220" s="95"/>
      <c r="D220" s="116"/>
      <c r="E220" s="116" t="s">
        <v>691</v>
      </c>
      <c r="F220" s="95" t="s">
        <v>525</v>
      </c>
      <c r="G220" s="95" t="s">
        <v>34</v>
      </c>
      <c r="H220" s="88" t="s">
        <v>35</v>
      </c>
      <c r="I220" s="129" t="s">
        <v>745</v>
      </c>
      <c r="J220" s="88" t="s">
        <v>35</v>
      </c>
      <c r="K220" s="88" t="s">
        <v>38</v>
      </c>
      <c r="L220" s="117" t="s">
        <v>693</v>
      </c>
      <c r="M220" s="111"/>
      <c r="N220" s="111"/>
      <c r="O220" s="111"/>
      <c r="P220" s="111"/>
      <c r="Q220" s="95" t="s">
        <v>828</v>
      </c>
      <c r="R220" s="111"/>
      <c r="S220" s="111"/>
      <c r="T220" s="111"/>
      <c r="U220" s="111"/>
      <c r="V220" s="111"/>
      <c r="W220" s="111"/>
      <c r="X220" s="92" t="s">
        <v>42</v>
      </c>
      <c r="Y220" s="111" t="s">
        <v>79</v>
      </c>
      <c r="Z220" s="111"/>
      <c r="AA220" s="92" t="s">
        <v>42</v>
      </c>
      <c r="AB220" s="111" t="s">
        <v>79</v>
      </c>
      <c r="AC220" s="119"/>
      <c r="AD220" s="149">
        <v>1</v>
      </c>
    </row>
    <row r="221" spans="1:30" ht="60" hidden="1" customHeight="1" x14ac:dyDescent="0.3">
      <c r="A221" s="88">
        <v>220</v>
      </c>
      <c r="B221" s="121" t="s">
        <v>685</v>
      </c>
      <c r="C221" s="95" t="s">
        <v>829</v>
      </c>
      <c r="D221" s="116" t="s">
        <v>830</v>
      </c>
      <c r="E221" s="116" t="s">
        <v>831</v>
      </c>
      <c r="F221" s="95" t="s">
        <v>525</v>
      </c>
      <c r="G221" s="95" t="s">
        <v>34</v>
      </c>
      <c r="H221" s="88" t="s">
        <v>35</v>
      </c>
      <c r="I221" s="129" t="s">
        <v>762</v>
      </c>
      <c r="J221" s="88" t="s">
        <v>35</v>
      </c>
      <c r="K221" s="88" t="s">
        <v>38</v>
      </c>
      <c r="L221" s="117" t="s">
        <v>693</v>
      </c>
      <c r="M221" s="111"/>
      <c r="N221" s="111"/>
      <c r="O221" s="111"/>
      <c r="P221" s="111"/>
      <c r="Q221" s="95" t="s">
        <v>74</v>
      </c>
      <c r="R221" s="111"/>
      <c r="S221" s="95" t="s">
        <v>832</v>
      </c>
      <c r="T221" s="111"/>
      <c r="U221" s="111"/>
      <c r="V221" s="111"/>
      <c r="W221" s="111"/>
      <c r="X221" s="92" t="s">
        <v>43</v>
      </c>
      <c r="Y221" s="111" t="s">
        <v>43</v>
      </c>
      <c r="Z221" s="111"/>
      <c r="AA221" s="92" t="s">
        <v>43</v>
      </c>
      <c r="AB221" s="111" t="s">
        <v>43</v>
      </c>
      <c r="AC221" s="119"/>
      <c r="AD221" s="149">
        <v>1</v>
      </c>
    </row>
    <row r="222" spans="1:30" ht="60" hidden="1" customHeight="1" x14ac:dyDescent="0.3">
      <c r="A222" s="88">
        <v>221</v>
      </c>
      <c r="B222" s="121" t="s">
        <v>685</v>
      </c>
      <c r="C222" s="95" t="s">
        <v>833</v>
      </c>
      <c r="D222" s="116" t="s">
        <v>420</v>
      </c>
      <c r="E222" s="116" t="s">
        <v>496</v>
      </c>
      <c r="F222" s="95" t="s">
        <v>525</v>
      </c>
      <c r="G222" s="95" t="s">
        <v>34</v>
      </c>
      <c r="H222" s="88" t="s">
        <v>35</v>
      </c>
      <c r="I222" s="129" t="s">
        <v>762</v>
      </c>
      <c r="J222" s="88" t="s">
        <v>35</v>
      </c>
      <c r="K222" s="88" t="s">
        <v>38</v>
      </c>
      <c r="L222" s="117" t="s">
        <v>693</v>
      </c>
      <c r="M222" s="111"/>
      <c r="N222" s="111"/>
      <c r="O222" s="111"/>
      <c r="P222" s="111"/>
      <c r="Q222" s="117" t="s">
        <v>834</v>
      </c>
      <c r="R222" s="111"/>
      <c r="S222" s="95" t="s">
        <v>835</v>
      </c>
      <c r="T222" s="111"/>
      <c r="U222" s="111"/>
      <c r="V222" s="111"/>
      <c r="W222" s="111"/>
      <c r="X222" s="92" t="s">
        <v>43</v>
      </c>
      <c r="Y222" s="111" t="s">
        <v>75</v>
      </c>
      <c r="Z222" s="111"/>
      <c r="AA222" s="92" t="s">
        <v>43</v>
      </c>
      <c r="AB222" s="111" t="s">
        <v>75</v>
      </c>
      <c r="AC222" s="119"/>
      <c r="AD222" s="149">
        <v>1</v>
      </c>
    </row>
    <row r="223" spans="1:30" ht="60" hidden="1" customHeight="1" x14ac:dyDescent="0.3">
      <c r="A223" s="88">
        <v>222</v>
      </c>
      <c r="B223" s="121" t="s">
        <v>685</v>
      </c>
      <c r="C223" s="95" t="s">
        <v>836</v>
      </c>
      <c r="D223" s="116" t="s">
        <v>532</v>
      </c>
      <c r="E223" s="116" t="s">
        <v>568</v>
      </c>
      <c r="F223" s="95" t="s">
        <v>525</v>
      </c>
      <c r="G223" s="95" t="s">
        <v>34</v>
      </c>
      <c r="H223" s="88" t="s">
        <v>37</v>
      </c>
      <c r="I223" s="129" t="s">
        <v>837</v>
      </c>
      <c r="J223" s="88" t="s">
        <v>35</v>
      </c>
      <c r="K223" s="88" t="s">
        <v>38</v>
      </c>
      <c r="L223" s="117" t="s">
        <v>78</v>
      </c>
      <c r="M223" s="111"/>
      <c r="N223" s="111"/>
      <c r="O223" s="111"/>
      <c r="P223" s="111"/>
      <c r="Q223" s="111"/>
      <c r="R223" s="111"/>
      <c r="S223" s="95" t="s">
        <v>838</v>
      </c>
      <c r="T223" s="111"/>
      <c r="U223" s="111"/>
      <c r="V223" s="111"/>
      <c r="W223" s="111"/>
      <c r="X223" s="92" t="s">
        <v>91</v>
      </c>
      <c r="Y223" s="111" t="s">
        <v>43</v>
      </c>
      <c r="Z223" s="111"/>
      <c r="AA223" s="92" t="s">
        <v>91</v>
      </c>
      <c r="AB223" s="111" t="s">
        <v>43</v>
      </c>
      <c r="AC223" s="119"/>
      <c r="AD223" s="149">
        <v>1</v>
      </c>
    </row>
    <row r="224" spans="1:30" ht="60" hidden="1" customHeight="1" x14ac:dyDescent="0.3">
      <c r="A224" s="88">
        <v>223</v>
      </c>
      <c r="B224" s="121" t="s">
        <v>685</v>
      </c>
      <c r="C224" s="95" t="s">
        <v>839</v>
      </c>
      <c r="D224" s="113" t="s">
        <v>840</v>
      </c>
      <c r="E224" s="116" t="s">
        <v>841</v>
      </c>
      <c r="F224" s="95" t="s">
        <v>525</v>
      </c>
      <c r="G224" s="95" t="s">
        <v>34</v>
      </c>
      <c r="H224" s="88" t="s">
        <v>35</v>
      </c>
      <c r="I224" s="129" t="s">
        <v>842</v>
      </c>
      <c r="J224" s="88" t="s">
        <v>35</v>
      </c>
      <c r="K224" s="88" t="s">
        <v>38</v>
      </c>
      <c r="L224" s="117" t="s">
        <v>326</v>
      </c>
      <c r="M224" s="111"/>
      <c r="N224" s="111"/>
      <c r="O224" s="111"/>
      <c r="P224" s="111"/>
      <c r="Q224" s="111"/>
      <c r="R224" s="111"/>
      <c r="S224" s="111"/>
      <c r="T224" s="111"/>
      <c r="U224" s="111"/>
      <c r="V224" s="111"/>
      <c r="W224" s="111"/>
      <c r="X224" s="92" t="s">
        <v>79</v>
      </c>
      <c r="Y224" s="111" t="s">
        <v>79</v>
      </c>
      <c r="Z224" s="111"/>
      <c r="AA224" s="92" t="s">
        <v>79</v>
      </c>
      <c r="AB224" s="111" t="s">
        <v>79</v>
      </c>
      <c r="AC224" s="119"/>
      <c r="AD224" s="149">
        <v>1</v>
      </c>
    </row>
    <row r="225" spans="1:30" ht="60" hidden="1" customHeight="1" x14ac:dyDescent="0.3">
      <c r="A225" s="88">
        <v>224</v>
      </c>
      <c r="B225" s="121" t="s">
        <v>685</v>
      </c>
      <c r="C225" s="95"/>
      <c r="D225" s="113"/>
      <c r="E225" s="116" t="s">
        <v>843</v>
      </c>
      <c r="F225" s="95" t="s">
        <v>525</v>
      </c>
      <c r="G225" s="95" t="s">
        <v>34</v>
      </c>
      <c r="H225" s="88" t="s">
        <v>35</v>
      </c>
      <c r="I225" s="129" t="s">
        <v>844</v>
      </c>
      <c r="J225" s="88" t="s">
        <v>35</v>
      </c>
      <c r="K225" s="88" t="s">
        <v>38</v>
      </c>
      <c r="L225" s="117" t="s">
        <v>326</v>
      </c>
      <c r="M225" s="111"/>
      <c r="N225" s="111"/>
      <c r="O225" s="111"/>
      <c r="P225" s="111"/>
      <c r="Q225" s="111"/>
      <c r="R225" s="111"/>
      <c r="S225" s="111"/>
      <c r="T225" s="111"/>
      <c r="U225" s="111"/>
      <c r="V225" s="111"/>
      <c r="W225" s="111"/>
      <c r="X225" s="92" t="s">
        <v>75</v>
      </c>
      <c r="Y225" s="111" t="s">
        <v>91</v>
      </c>
      <c r="Z225" s="111"/>
      <c r="AA225" s="92" t="s">
        <v>75</v>
      </c>
      <c r="AB225" s="111" t="s">
        <v>91</v>
      </c>
      <c r="AC225" s="119"/>
      <c r="AD225" s="149">
        <v>1</v>
      </c>
    </row>
    <row r="226" spans="1:30" ht="60" hidden="1" customHeight="1" x14ac:dyDescent="0.3">
      <c r="A226" s="88">
        <v>225</v>
      </c>
      <c r="B226" s="121" t="s">
        <v>685</v>
      </c>
      <c r="C226" s="95"/>
      <c r="D226" s="113"/>
      <c r="E226" s="116" t="s">
        <v>845</v>
      </c>
      <c r="F226" s="95" t="s">
        <v>525</v>
      </c>
      <c r="G226" s="95" t="s">
        <v>34</v>
      </c>
      <c r="H226" s="88" t="s">
        <v>35</v>
      </c>
      <c r="I226" s="129" t="s">
        <v>739</v>
      </c>
      <c r="J226" s="88" t="s">
        <v>35</v>
      </c>
      <c r="K226" s="88" t="s">
        <v>38</v>
      </c>
      <c r="L226" s="117" t="s">
        <v>326</v>
      </c>
      <c r="M226" s="111"/>
      <c r="N226" s="111"/>
      <c r="O226" s="111"/>
      <c r="P226" s="111"/>
      <c r="Q226" s="111"/>
      <c r="R226" s="111"/>
      <c r="S226" s="111"/>
      <c r="T226" s="111"/>
      <c r="U226" s="111"/>
      <c r="V226" s="111"/>
      <c r="W226" s="111"/>
      <c r="X226" s="92" t="s">
        <v>42</v>
      </c>
      <c r="Y226" s="111" t="s">
        <v>79</v>
      </c>
      <c r="Z226" s="111"/>
      <c r="AA226" s="92" t="s">
        <v>42</v>
      </c>
      <c r="AB226" s="111" t="s">
        <v>79</v>
      </c>
      <c r="AC226" s="119"/>
      <c r="AD226" s="149">
        <v>1</v>
      </c>
    </row>
    <row r="227" spans="1:30" ht="60" hidden="1" customHeight="1" x14ac:dyDescent="0.3">
      <c r="A227" s="88">
        <v>226</v>
      </c>
      <c r="B227" s="121" t="s">
        <v>685</v>
      </c>
      <c r="C227" s="95" t="s">
        <v>846</v>
      </c>
      <c r="D227" s="116" t="s">
        <v>847</v>
      </c>
      <c r="E227" s="116" t="s">
        <v>848</v>
      </c>
      <c r="F227" s="95" t="s">
        <v>525</v>
      </c>
      <c r="G227" s="95" t="s">
        <v>34</v>
      </c>
      <c r="H227" s="88" t="s">
        <v>35</v>
      </c>
      <c r="I227" s="129" t="s">
        <v>762</v>
      </c>
      <c r="J227" s="88" t="s">
        <v>35</v>
      </c>
      <c r="K227" s="88" t="s">
        <v>145</v>
      </c>
      <c r="L227" s="117" t="s">
        <v>693</v>
      </c>
      <c r="M227" s="111"/>
      <c r="N227" s="111"/>
      <c r="O227" s="111"/>
      <c r="P227" s="111"/>
      <c r="Q227" s="95" t="s">
        <v>74</v>
      </c>
      <c r="R227" s="111"/>
      <c r="S227" s="111"/>
      <c r="T227" s="111"/>
      <c r="U227" s="111"/>
      <c r="V227" s="111"/>
      <c r="W227" s="111"/>
      <c r="X227" s="92" t="s">
        <v>43</v>
      </c>
      <c r="Y227" s="111" t="s">
        <v>91</v>
      </c>
      <c r="Z227" s="111"/>
      <c r="AA227" s="92" t="s">
        <v>43</v>
      </c>
      <c r="AB227" s="111" t="s">
        <v>91</v>
      </c>
      <c r="AC227" s="119"/>
      <c r="AD227" s="149">
        <v>1</v>
      </c>
    </row>
    <row r="228" spans="1:30" ht="60" hidden="1" customHeight="1" x14ac:dyDescent="0.3">
      <c r="A228" s="88">
        <v>227</v>
      </c>
      <c r="B228" s="121" t="s">
        <v>685</v>
      </c>
      <c r="C228" s="95" t="s">
        <v>849</v>
      </c>
      <c r="D228" s="116" t="s">
        <v>850</v>
      </c>
      <c r="E228" s="116" t="s">
        <v>418</v>
      </c>
      <c r="F228" s="95" t="s">
        <v>525</v>
      </c>
      <c r="G228" s="95" t="s">
        <v>34</v>
      </c>
      <c r="H228" s="88" t="s">
        <v>35</v>
      </c>
      <c r="I228" s="129" t="s">
        <v>851</v>
      </c>
      <c r="J228" s="88" t="s">
        <v>35</v>
      </c>
      <c r="K228" s="88" t="s">
        <v>38</v>
      </c>
      <c r="L228" s="117" t="s">
        <v>326</v>
      </c>
      <c r="M228" s="111"/>
      <c r="N228" s="111"/>
      <c r="O228" s="111"/>
      <c r="P228" s="111"/>
      <c r="Q228" s="111"/>
      <c r="R228" s="111"/>
      <c r="S228" s="111"/>
      <c r="T228" s="111"/>
      <c r="U228" s="111"/>
      <c r="V228" s="111"/>
      <c r="W228" s="111"/>
      <c r="X228" s="92" t="s">
        <v>79</v>
      </c>
      <c r="Y228" s="111" t="s">
        <v>91</v>
      </c>
      <c r="Z228" s="111"/>
      <c r="AA228" s="92" t="s">
        <v>79</v>
      </c>
      <c r="AB228" s="111" t="s">
        <v>91</v>
      </c>
      <c r="AC228" s="119"/>
      <c r="AD228" s="149">
        <v>1</v>
      </c>
    </row>
    <row r="229" spans="1:30" ht="60" hidden="1" customHeight="1" x14ac:dyDescent="0.3">
      <c r="A229" s="88">
        <v>228</v>
      </c>
      <c r="B229" s="121" t="s">
        <v>685</v>
      </c>
      <c r="C229" s="95" t="s">
        <v>852</v>
      </c>
      <c r="D229" s="116" t="s">
        <v>410</v>
      </c>
      <c r="E229" s="116" t="s">
        <v>853</v>
      </c>
      <c r="F229" s="95" t="s">
        <v>525</v>
      </c>
      <c r="G229" s="95" t="s">
        <v>34</v>
      </c>
      <c r="H229" s="88" t="s">
        <v>35</v>
      </c>
      <c r="I229" s="129" t="s">
        <v>854</v>
      </c>
      <c r="J229" s="88" t="s">
        <v>35</v>
      </c>
      <c r="K229" s="88" t="s">
        <v>38</v>
      </c>
      <c r="L229" s="117" t="s">
        <v>326</v>
      </c>
      <c r="M229" s="111"/>
      <c r="N229" s="111"/>
      <c r="O229" s="111"/>
      <c r="P229" s="111"/>
      <c r="Q229" s="111"/>
      <c r="R229" s="111"/>
      <c r="S229" s="111"/>
      <c r="T229" s="111"/>
      <c r="U229" s="111"/>
      <c r="V229" s="111"/>
      <c r="W229" s="111"/>
      <c r="X229" s="92" t="s">
        <v>91</v>
      </c>
      <c r="Y229" s="111" t="s">
        <v>79</v>
      </c>
      <c r="Z229" s="111"/>
      <c r="AA229" s="92" t="s">
        <v>91</v>
      </c>
      <c r="AB229" s="111" t="s">
        <v>79</v>
      </c>
      <c r="AC229" s="119"/>
      <c r="AD229" s="149">
        <v>1</v>
      </c>
    </row>
    <row r="230" spans="1:30" ht="60" hidden="1" customHeight="1" x14ac:dyDescent="0.3">
      <c r="A230" s="88">
        <v>229</v>
      </c>
      <c r="B230" s="121" t="s">
        <v>685</v>
      </c>
      <c r="C230" s="95"/>
      <c r="D230" s="116"/>
      <c r="E230" s="116" t="s">
        <v>855</v>
      </c>
      <c r="F230" s="95" t="s">
        <v>525</v>
      </c>
      <c r="G230" s="95" t="s">
        <v>34</v>
      </c>
      <c r="H230" s="88" t="s">
        <v>35</v>
      </c>
      <c r="I230" s="129" t="s">
        <v>856</v>
      </c>
      <c r="J230" s="88" t="s">
        <v>35</v>
      </c>
      <c r="K230" s="88" t="s">
        <v>38</v>
      </c>
      <c r="L230" s="117" t="s">
        <v>326</v>
      </c>
      <c r="M230" s="111"/>
      <c r="N230" s="111"/>
      <c r="O230" s="111"/>
      <c r="P230" s="111"/>
      <c r="Q230" s="111"/>
      <c r="R230" s="111"/>
      <c r="S230" s="111"/>
      <c r="T230" s="111"/>
      <c r="U230" s="111"/>
      <c r="V230" s="111"/>
      <c r="W230" s="111"/>
      <c r="X230" s="92" t="s">
        <v>79</v>
      </c>
      <c r="Y230" s="111" t="s">
        <v>79</v>
      </c>
      <c r="Z230" s="111"/>
      <c r="AA230" s="92" t="s">
        <v>79</v>
      </c>
      <c r="AB230" s="111" t="s">
        <v>79</v>
      </c>
      <c r="AC230" s="119"/>
      <c r="AD230" s="149">
        <v>1</v>
      </c>
    </row>
    <row r="231" spans="1:30" ht="75" hidden="1" customHeight="1" x14ac:dyDescent="0.3">
      <c r="A231" s="88">
        <v>230</v>
      </c>
      <c r="B231" s="121" t="s">
        <v>685</v>
      </c>
      <c r="C231" s="95" t="s">
        <v>857</v>
      </c>
      <c r="D231" s="116" t="s">
        <v>273</v>
      </c>
      <c r="E231" s="116" t="s">
        <v>738</v>
      </c>
      <c r="F231" s="95" t="s">
        <v>525</v>
      </c>
      <c r="G231" s="95" t="s">
        <v>34</v>
      </c>
      <c r="H231" s="88" t="s">
        <v>37</v>
      </c>
      <c r="I231" s="129" t="s">
        <v>762</v>
      </c>
      <c r="J231" s="88" t="s">
        <v>35</v>
      </c>
      <c r="K231" s="88" t="s">
        <v>38</v>
      </c>
      <c r="L231" s="117" t="s">
        <v>372</v>
      </c>
      <c r="M231" s="111"/>
      <c r="N231" s="111"/>
      <c r="O231" s="111"/>
      <c r="P231" s="111"/>
      <c r="Q231" s="111"/>
      <c r="R231" s="111"/>
      <c r="S231" s="88" t="s">
        <v>741</v>
      </c>
      <c r="T231" s="111"/>
      <c r="U231" s="111"/>
      <c r="V231" s="111"/>
      <c r="W231" s="111"/>
      <c r="X231" s="92" t="s">
        <v>185</v>
      </c>
      <c r="Y231" s="111" t="s">
        <v>43</v>
      </c>
      <c r="Z231" s="111"/>
      <c r="AA231" s="92" t="s">
        <v>185</v>
      </c>
      <c r="AB231" s="111" t="s">
        <v>43</v>
      </c>
      <c r="AC231" s="119"/>
      <c r="AD231" s="149">
        <v>1</v>
      </c>
    </row>
    <row r="232" spans="1:30" ht="60" hidden="1" customHeight="1" x14ac:dyDescent="0.3">
      <c r="A232" s="88">
        <v>231</v>
      </c>
      <c r="B232" s="121" t="s">
        <v>685</v>
      </c>
      <c r="C232" s="95"/>
      <c r="D232" s="116"/>
      <c r="E232" s="116" t="s">
        <v>215</v>
      </c>
      <c r="F232" s="95" t="s">
        <v>525</v>
      </c>
      <c r="G232" s="95" t="s">
        <v>34</v>
      </c>
      <c r="H232" s="88" t="s">
        <v>35</v>
      </c>
      <c r="I232" s="129" t="s">
        <v>762</v>
      </c>
      <c r="J232" s="88" t="s">
        <v>35</v>
      </c>
      <c r="K232" s="88" t="s">
        <v>38</v>
      </c>
      <c r="L232" s="117" t="s">
        <v>372</v>
      </c>
      <c r="M232" s="111"/>
      <c r="N232" s="111"/>
      <c r="O232" s="111"/>
      <c r="P232" s="111"/>
      <c r="Q232" s="111"/>
      <c r="R232" s="111"/>
      <c r="S232" s="88" t="s">
        <v>858</v>
      </c>
      <c r="T232" s="111"/>
      <c r="U232" s="111"/>
      <c r="V232" s="111"/>
      <c r="W232" s="111"/>
      <c r="X232" s="92" t="s">
        <v>91</v>
      </c>
      <c r="Y232" s="111" t="s">
        <v>42</v>
      </c>
      <c r="Z232" s="111"/>
      <c r="AA232" s="92" t="s">
        <v>91</v>
      </c>
      <c r="AB232" s="111" t="s">
        <v>42</v>
      </c>
      <c r="AC232" s="119"/>
      <c r="AD232" s="149">
        <v>1</v>
      </c>
    </row>
    <row r="233" spans="1:30" ht="60" hidden="1" customHeight="1" x14ac:dyDescent="0.3">
      <c r="A233" s="88">
        <v>232</v>
      </c>
      <c r="B233" s="121" t="s">
        <v>685</v>
      </c>
      <c r="C233" s="95"/>
      <c r="D233" s="116"/>
      <c r="E233" s="116" t="s">
        <v>395</v>
      </c>
      <c r="F233" s="95" t="s">
        <v>525</v>
      </c>
      <c r="G233" s="95" t="s">
        <v>34</v>
      </c>
      <c r="H233" s="88" t="s">
        <v>35</v>
      </c>
      <c r="I233" s="129" t="s">
        <v>747</v>
      </c>
      <c r="J233" s="88" t="s">
        <v>35</v>
      </c>
      <c r="K233" s="88" t="s">
        <v>38</v>
      </c>
      <c r="L233" s="117" t="s">
        <v>372</v>
      </c>
      <c r="M233" s="111"/>
      <c r="N233" s="111"/>
      <c r="O233" s="111"/>
      <c r="P233" s="111"/>
      <c r="Q233" s="111"/>
      <c r="R233" s="111"/>
      <c r="S233" s="88" t="s">
        <v>859</v>
      </c>
      <c r="T233" s="111"/>
      <c r="U233" s="111"/>
      <c r="V233" s="111"/>
      <c r="W233" s="111"/>
      <c r="X233" s="92" t="s">
        <v>79</v>
      </c>
      <c r="Y233" s="111" t="s">
        <v>43</v>
      </c>
      <c r="Z233" s="111"/>
      <c r="AA233" s="92" t="s">
        <v>79</v>
      </c>
      <c r="AB233" s="111" t="s">
        <v>43</v>
      </c>
      <c r="AC233" s="119"/>
      <c r="AD233" s="149">
        <v>1</v>
      </c>
    </row>
    <row r="234" spans="1:30" ht="60" hidden="1" customHeight="1" x14ac:dyDescent="0.3">
      <c r="A234" s="88">
        <v>233</v>
      </c>
      <c r="B234" s="121" t="s">
        <v>685</v>
      </c>
      <c r="C234" s="95" t="s">
        <v>860</v>
      </c>
      <c r="D234" s="116" t="s">
        <v>861</v>
      </c>
      <c r="E234" s="116" t="s">
        <v>862</v>
      </c>
      <c r="F234" s="95" t="s">
        <v>525</v>
      </c>
      <c r="G234" s="95" t="s">
        <v>34</v>
      </c>
      <c r="H234" s="88" t="s">
        <v>35</v>
      </c>
      <c r="I234" s="129" t="s">
        <v>762</v>
      </c>
      <c r="J234" s="88" t="s">
        <v>35</v>
      </c>
      <c r="K234" s="88" t="s">
        <v>38</v>
      </c>
      <c r="L234" s="117" t="s">
        <v>372</v>
      </c>
      <c r="M234" s="111"/>
      <c r="N234" s="111"/>
      <c r="O234" s="111"/>
      <c r="P234" s="111"/>
      <c r="Q234" s="111"/>
      <c r="R234" s="111"/>
      <c r="S234" s="88" t="s">
        <v>863</v>
      </c>
      <c r="T234" s="111"/>
      <c r="U234" s="111"/>
      <c r="V234" s="111"/>
      <c r="W234" s="111"/>
      <c r="X234" s="92" t="s">
        <v>91</v>
      </c>
      <c r="Y234" s="111" t="s">
        <v>43</v>
      </c>
      <c r="Z234" s="111"/>
      <c r="AA234" s="92" t="s">
        <v>91</v>
      </c>
      <c r="AB234" s="111" t="s">
        <v>43</v>
      </c>
      <c r="AC234" s="119"/>
      <c r="AD234" s="149">
        <v>1</v>
      </c>
    </row>
    <row r="235" spans="1:30" ht="60" hidden="1" customHeight="1" x14ac:dyDescent="0.3">
      <c r="A235" s="88">
        <v>234</v>
      </c>
      <c r="B235" s="121" t="s">
        <v>685</v>
      </c>
      <c r="C235" s="95" t="s">
        <v>864</v>
      </c>
      <c r="D235" s="113" t="s">
        <v>865</v>
      </c>
      <c r="E235" s="113" t="s">
        <v>295</v>
      </c>
      <c r="F235" s="95" t="s">
        <v>525</v>
      </c>
      <c r="G235" s="95" t="s">
        <v>34</v>
      </c>
      <c r="H235" s="88" t="s">
        <v>35</v>
      </c>
      <c r="I235" s="129" t="s">
        <v>866</v>
      </c>
      <c r="J235" s="88" t="s">
        <v>37</v>
      </c>
      <c r="K235" s="88" t="s">
        <v>38</v>
      </c>
      <c r="L235" s="95"/>
      <c r="M235" s="111"/>
      <c r="N235" s="111"/>
      <c r="O235" s="111"/>
      <c r="P235" s="111"/>
      <c r="Q235" s="111"/>
      <c r="R235" s="111"/>
      <c r="S235" s="111"/>
      <c r="T235" s="111"/>
      <c r="U235" s="111"/>
      <c r="V235" s="111"/>
      <c r="W235" s="111"/>
      <c r="X235" s="92" t="s">
        <v>42</v>
      </c>
      <c r="Y235" s="95" t="s">
        <v>185</v>
      </c>
      <c r="Z235" s="95"/>
      <c r="AA235" s="92" t="s">
        <v>42</v>
      </c>
      <c r="AB235" s="95" t="s">
        <v>185</v>
      </c>
      <c r="AC235" s="119"/>
      <c r="AD235" s="149">
        <v>1</v>
      </c>
    </row>
    <row r="236" spans="1:30" ht="60" hidden="1" customHeight="1" x14ac:dyDescent="0.3">
      <c r="A236" s="88">
        <v>235</v>
      </c>
      <c r="B236" s="121" t="s">
        <v>685</v>
      </c>
      <c r="C236" s="95"/>
      <c r="D236" s="113"/>
      <c r="E236" s="113" t="s">
        <v>867</v>
      </c>
      <c r="F236" s="95" t="s">
        <v>525</v>
      </c>
      <c r="G236" s="95" t="s">
        <v>34</v>
      </c>
      <c r="H236" s="88" t="s">
        <v>35</v>
      </c>
      <c r="I236" s="129" t="s">
        <v>868</v>
      </c>
      <c r="J236" s="88" t="s">
        <v>37</v>
      </c>
      <c r="K236" s="88" t="s">
        <v>38</v>
      </c>
      <c r="L236" s="95" t="s">
        <v>269</v>
      </c>
      <c r="M236" s="111"/>
      <c r="N236" s="111"/>
      <c r="O236" s="111"/>
      <c r="P236" s="111"/>
      <c r="Q236" s="111"/>
      <c r="R236" s="111"/>
      <c r="S236" s="111"/>
      <c r="T236" s="111"/>
      <c r="U236" s="111"/>
      <c r="V236" s="111"/>
      <c r="W236" s="111"/>
      <c r="X236" s="92" t="s">
        <v>79</v>
      </c>
      <c r="Y236" s="95" t="s">
        <v>43</v>
      </c>
      <c r="Z236" s="95"/>
      <c r="AA236" s="92" t="s">
        <v>79</v>
      </c>
      <c r="AB236" s="95" t="s">
        <v>43</v>
      </c>
      <c r="AC236" s="119"/>
      <c r="AD236" s="149">
        <v>1</v>
      </c>
    </row>
    <row r="237" spans="1:30" ht="60" hidden="1" customHeight="1" x14ac:dyDescent="0.3">
      <c r="A237" s="88">
        <v>236</v>
      </c>
      <c r="B237" s="121" t="s">
        <v>685</v>
      </c>
      <c r="C237" s="95"/>
      <c r="D237" s="113"/>
      <c r="E237" s="113" t="s">
        <v>869</v>
      </c>
      <c r="F237" s="95" t="s">
        <v>525</v>
      </c>
      <c r="G237" s="95" t="s">
        <v>34</v>
      </c>
      <c r="H237" s="88" t="s">
        <v>35</v>
      </c>
      <c r="I237" s="129" t="s">
        <v>868</v>
      </c>
      <c r="J237" s="88" t="s">
        <v>35</v>
      </c>
      <c r="K237" s="88" t="s">
        <v>38</v>
      </c>
      <c r="L237" s="95" t="s">
        <v>269</v>
      </c>
      <c r="M237" s="111"/>
      <c r="N237" s="111"/>
      <c r="O237" s="111"/>
      <c r="P237" s="111"/>
      <c r="Q237" s="111"/>
      <c r="R237" s="111"/>
      <c r="S237" s="111"/>
      <c r="T237" s="111"/>
      <c r="U237" s="111"/>
      <c r="V237" s="111"/>
      <c r="W237" s="111"/>
      <c r="X237" s="92" t="s">
        <v>185</v>
      </c>
      <c r="Y237" s="95" t="s">
        <v>185</v>
      </c>
      <c r="Z237" s="95"/>
      <c r="AA237" s="92" t="s">
        <v>185</v>
      </c>
      <c r="AB237" s="95" t="s">
        <v>185</v>
      </c>
      <c r="AC237" s="119"/>
      <c r="AD237" s="149">
        <v>1</v>
      </c>
    </row>
    <row r="238" spans="1:30" ht="60" hidden="1" customHeight="1" x14ac:dyDescent="0.3">
      <c r="A238" s="88">
        <v>237</v>
      </c>
      <c r="B238" s="121" t="s">
        <v>685</v>
      </c>
      <c r="C238" s="95"/>
      <c r="D238" s="113"/>
      <c r="E238" s="113" t="s">
        <v>543</v>
      </c>
      <c r="F238" s="95" t="s">
        <v>525</v>
      </c>
      <c r="G238" s="95" t="s">
        <v>34</v>
      </c>
      <c r="H238" s="88" t="s">
        <v>35</v>
      </c>
      <c r="I238" s="129" t="s">
        <v>868</v>
      </c>
      <c r="J238" s="88" t="s">
        <v>37</v>
      </c>
      <c r="K238" s="88" t="s">
        <v>38</v>
      </c>
      <c r="L238" s="95" t="s">
        <v>53</v>
      </c>
      <c r="M238" s="111"/>
      <c r="N238" s="111"/>
      <c r="O238" s="111"/>
      <c r="P238" s="111"/>
      <c r="Q238" s="113"/>
      <c r="R238" s="111"/>
      <c r="S238" s="111"/>
      <c r="T238" s="111"/>
      <c r="U238" s="111"/>
      <c r="V238" s="111"/>
      <c r="W238" s="111"/>
      <c r="X238" s="92" t="s">
        <v>75</v>
      </c>
      <c r="Y238" s="95" t="s">
        <v>79</v>
      </c>
      <c r="Z238" s="95"/>
      <c r="AA238" s="92" t="s">
        <v>75</v>
      </c>
      <c r="AB238" s="95" t="s">
        <v>79</v>
      </c>
      <c r="AC238" s="119"/>
      <c r="AD238" s="149">
        <v>1</v>
      </c>
    </row>
    <row r="239" spans="1:30" ht="60" hidden="1" customHeight="1" x14ac:dyDescent="0.3">
      <c r="A239" s="88">
        <v>238</v>
      </c>
      <c r="B239" s="121" t="s">
        <v>685</v>
      </c>
      <c r="C239" s="95" t="s">
        <v>870</v>
      </c>
      <c r="D239" s="113" t="s">
        <v>871</v>
      </c>
      <c r="E239" s="113" t="s">
        <v>789</v>
      </c>
      <c r="F239" s="95" t="s">
        <v>525</v>
      </c>
      <c r="G239" s="95" t="s">
        <v>34</v>
      </c>
      <c r="H239" s="88" t="s">
        <v>35</v>
      </c>
      <c r="I239" s="129" t="s">
        <v>872</v>
      </c>
      <c r="J239" s="88" t="s">
        <v>37</v>
      </c>
      <c r="K239" s="88" t="s">
        <v>145</v>
      </c>
      <c r="L239" s="95" t="s">
        <v>648</v>
      </c>
      <c r="M239" s="111"/>
      <c r="N239" s="111"/>
      <c r="O239" s="111"/>
      <c r="P239" s="111"/>
      <c r="Q239" s="111"/>
      <c r="R239" s="111"/>
      <c r="S239" s="111"/>
      <c r="T239" s="111"/>
      <c r="U239" s="111"/>
      <c r="V239" s="111"/>
      <c r="W239" s="111"/>
      <c r="X239" s="92" t="s">
        <v>79</v>
      </c>
      <c r="Y239" s="95" t="s">
        <v>91</v>
      </c>
      <c r="Z239" s="95"/>
      <c r="AA239" s="92" t="s">
        <v>79</v>
      </c>
      <c r="AB239" s="95" t="s">
        <v>91</v>
      </c>
      <c r="AC239" s="119"/>
      <c r="AD239" s="149">
        <v>1</v>
      </c>
    </row>
    <row r="240" spans="1:30" ht="60" hidden="1" customHeight="1" x14ac:dyDescent="0.3">
      <c r="A240" s="88">
        <v>239</v>
      </c>
      <c r="B240" s="121" t="s">
        <v>685</v>
      </c>
      <c r="C240" s="95" t="s">
        <v>873</v>
      </c>
      <c r="D240" s="113" t="s">
        <v>874</v>
      </c>
      <c r="E240" s="113" t="s">
        <v>675</v>
      </c>
      <c r="F240" s="95" t="s">
        <v>525</v>
      </c>
      <c r="G240" s="95" t="s">
        <v>34</v>
      </c>
      <c r="H240" s="88" t="s">
        <v>35</v>
      </c>
      <c r="I240" s="129" t="s">
        <v>875</v>
      </c>
      <c r="J240" s="88" t="s">
        <v>35</v>
      </c>
      <c r="K240" s="88" t="s">
        <v>38</v>
      </c>
      <c r="L240" s="95" t="s">
        <v>648</v>
      </c>
      <c r="M240" s="111"/>
      <c r="N240" s="111"/>
      <c r="O240" s="111"/>
      <c r="P240" s="111"/>
      <c r="Q240" s="111"/>
      <c r="R240" s="111"/>
      <c r="S240" s="111"/>
      <c r="T240" s="111"/>
      <c r="U240" s="111"/>
      <c r="V240" s="111"/>
      <c r="W240" s="111"/>
      <c r="X240" s="92" t="s">
        <v>79</v>
      </c>
      <c r="Y240" s="95" t="s">
        <v>79</v>
      </c>
      <c r="Z240" s="95"/>
      <c r="AA240" s="92" t="s">
        <v>79</v>
      </c>
      <c r="AB240" s="95" t="s">
        <v>79</v>
      </c>
      <c r="AC240" s="119"/>
      <c r="AD240" s="149">
        <v>1</v>
      </c>
    </row>
    <row r="241" spans="1:30" ht="206.25" hidden="1" customHeight="1" x14ac:dyDescent="0.3">
      <c r="A241" s="88">
        <v>240</v>
      </c>
      <c r="B241" s="121" t="s">
        <v>685</v>
      </c>
      <c r="C241" s="95" t="s">
        <v>876</v>
      </c>
      <c r="D241" s="116" t="s">
        <v>877</v>
      </c>
      <c r="E241" s="116" t="s">
        <v>878</v>
      </c>
      <c r="F241" s="95" t="s">
        <v>525</v>
      </c>
      <c r="G241" s="95" t="s">
        <v>34</v>
      </c>
      <c r="H241" s="88" t="s">
        <v>35</v>
      </c>
      <c r="I241" s="129" t="s">
        <v>879</v>
      </c>
      <c r="J241" s="88" t="s">
        <v>37</v>
      </c>
      <c r="K241" s="88" t="s">
        <v>38</v>
      </c>
      <c r="L241" s="117" t="s">
        <v>880</v>
      </c>
      <c r="M241" s="111"/>
      <c r="N241" s="111"/>
      <c r="O241" s="111"/>
      <c r="P241" s="111"/>
      <c r="Q241" s="123" t="s">
        <v>881</v>
      </c>
      <c r="R241" s="111"/>
      <c r="S241" s="95" t="s">
        <v>882</v>
      </c>
      <c r="T241" s="111"/>
      <c r="U241" s="111"/>
      <c r="V241" s="111"/>
      <c r="W241" s="111"/>
      <c r="X241" s="92" t="s">
        <v>43</v>
      </c>
      <c r="Y241" s="111" t="s">
        <v>43</v>
      </c>
      <c r="Z241" s="111"/>
      <c r="AA241" s="92" t="s">
        <v>43</v>
      </c>
      <c r="AB241" s="111" t="s">
        <v>43</v>
      </c>
      <c r="AC241" s="119"/>
      <c r="AD241" s="149">
        <v>1</v>
      </c>
    </row>
    <row r="242" spans="1:30" ht="167.25" hidden="1" customHeight="1" x14ac:dyDescent="0.3">
      <c r="A242" s="88">
        <v>241</v>
      </c>
      <c r="B242" s="121" t="s">
        <v>685</v>
      </c>
      <c r="C242" s="95" t="s">
        <v>857</v>
      </c>
      <c r="D242" s="116" t="s">
        <v>823</v>
      </c>
      <c r="E242" s="116" t="s">
        <v>883</v>
      </c>
      <c r="F242" s="95" t="s">
        <v>525</v>
      </c>
      <c r="G242" s="95" t="s">
        <v>34</v>
      </c>
      <c r="H242" s="88" t="s">
        <v>35</v>
      </c>
      <c r="I242" s="129" t="s">
        <v>884</v>
      </c>
      <c r="J242" s="88" t="s">
        <v>37</v>
      </c>
      <c r="K242" s="88" t="s">
        <v>38</v>
      </c>
      <c r="L242" s="117" t="s">
        <v>880</v>
      </c>
      <c r="M242" s="111"/>
      <c r="N242" s="111"/>
      <c r="O242" s="111"/>
      <c r="P242" s="111"/>
      <c r="Q242" s="123" t="s">
        <v>74</v>
      </c>
      <c r="R242" s="111"/>
      <c r="S242" s="95" t="s">
        <v>99</v>
      </c>
      <c r="T242" s="111"/>
      <c r="U242" s="111"/>
      <c r="V242" s="111"/>
      <c r="W242" s="111"/>
      <c r="X242" s="92" t="s">
        <v>43</v>
      </c>
      <c r="Y242" s="111" t="s">
        <v>185</v>
      </c>
      <c r="Z242" s="111"/>
      <c r="AA242" s="92" t="s">
        <v>43</v>
      </c>
      <c r="AB242" s="111" t="s">
        <v>185</v>
      </c>
      <c r="AC242" s="119"/>
      <c r="AD242" s="149">
        <v>1</v>
      </c>
    </row>
    <row r="243" spans="1:30" ht="60" hidden="1" customHeight="1" x14ac:dyDescent="0.3">
      <c r="A243" s="88">
        <v>242</v>
      </c>
      <c r="B243" s="121" t="s">
        <v>685</v>
      </c>
      <c r="C243" s="95" t="s">
        <v>885</v>
      </c>
      <c r="D243" s="113" t="s">
        <v>886</v>
      </c>
      <c r="E243" s="113" t="s">
        <v>887</v>
      </c>
      <c r="F243" s="95" t="s">
        <v>525</v>
      </c>
      <c r="G243" s="95" t="s">
        <v>34</v>
      </c>
      <c r="H243" s="88" t="s">
        <v>35</v>
      </c>
      <c r="I243" s="129" t="s">
        <v>888</v>
      </c>
      <c r="J243" s="88" t="s">
        <v>37</v>
      </c>
      <c r="K243" s="88" t="s">
        <v>38</v>
      </c>
      <c r="L243" s="95" t="s">
        <v>468</v>
      </c>
      <c r="M243" s="111"/>
      <c r="N243" s="111"/>
      <c r="O243" s="111"/>
      <c r="P243" s="111"/>
      <c r="Q243" s="111"/>
      <c r="R243" s="111"/>
      <c r="S243" s="111"/>
      <c r="T243" s="111"/>
      <c r="U243" s="111"/>
      <c r="V243" s="111"/>
      <c r="W243" s="111"/>
      <c r="X243" s="92" t="s">
        <v>79</v>
      </c>
      <c r="Y243" s="95" t="s">
        <v>91</v>
      </c>
      <c r="Z243" s="95"/>
      <c r="AA243" s="92" t="s">
        <v>79</v>
      </c>
      <c r="AB243" s="95" t="s">
        <v>91</v>
      </c>
      <c r="AC243" s="119"/>
      <c r="AD243" s="149">
        <v>1</v>
      </c>
    </row>
    <row r="244" spans="1:30" ht="90" hidden="1" customHeight="1" x14ac:dyDescent="0.3">
      <c r="A244" s="88">
        <v>243</v>
      </c>
      <c r="B244" s="121" t="s">
        <v>685</v>
      </c>
      <c r="C244" s="95" t="s">
        <v>889</v>
      </c>
      <c r="D244" s="113" t="s">
        <v>890</v>
      </c>
      <c r="E244" s="113" t="s">
        <v>477</v>
      </c>
      <c r="F244" s="95" t="s">
        <v>525</v>
      </c>
      <c r="G244" s="95" t="s">
        <v>34</v>
      </c>
      <c r="H244" s="88" t="s">
        <v>35</v>
      </c>
      <c r="I244" s="129" t="s">
        <v>891</v>
      </c>
      <c r="J244" s="88" t="s">
        <v>35</v>
      </c>
      <c r="K244" s="88" t="s">
        <v>38</v>
      </c>
      <c r="L244" s="95" t="s">
        <v>468</v>
      </c>
      <c r="M244" s="111"/>
      <c r="N244" s="111"/>
      <c r="O244" s="111"/>
      <c r="P244" s="111"/>
      <c r="Q244" s="111"/>
      <c r="R244" s="111"/>
      <c r="S244" s="111"/>
      <c r="T244" s="111"/>
      <c r="U244" s="111"/>
      <c r="V244" s="111"/>
      <c r="W244" s="111"/>
      <c r="X244" s="92" t="s">
        <v>91</v>
      </c>
      <c r="Y244" s="95" t="s">
        <v>42</v>
      </c>
      <c r="Z244" s="95"/>
      <c r="AA244" s="92" t="s">
        <v>91</v>
      </c>
      <c r="AB244" s="95" t="s">
        <v>42</v>
      </c>
      <c r="AC244" s="119"/>
      <c r="AD244" s="149">
        <v>1</v>
      </c>
    </row>
    <row r="245" spans="1:30" ht="60" hidden="1" customHeight="1" x14ac:dyDescent="0.3">
      <c r="A245" s="88">
        <v>244</v>
      </c>
      <c r="B245" s="121" t="s">
        <v>685</v>
      </c>
      <c r="C245" s="95" t="s">
        <v>892</v>
      </c>
      <c r="D245" s="113" t="s">
        <v>502</v>
      </c>
      <c r="E245" s="113" t="s">
        <v>812</v>
      </c>
      <c r="F245" s="95" t="s">
        <v>525</v>
      </c>
      <c r="G245" s="95" t="s">
        <v>34</v>
      </c>
      <c r="H245" s="88" t="s">
        <v>35</v>
      </c>
      <c r="I245" s="129" t="s">
        <v>893</v>
      </c>
      <c r="J245" s="88" t="s">
        <v>37</v>
      </c>
      <c r="K245" s="88" t="s">
        <v>38</v>
      </c>
      <c r="L245" s="95" t="s">
        <v>326</v>
      </c>
      <c r="M245" s="111"/>
      <c r="N245" s="111"/>
      <c r="O245" s="111"/>
      <c r="P245" s="111"/>
      <c r="Q245" s="111"/>
      <c r="R245" s="111"/>
      <c r="S245" s="111"/>
      <c r="T245" s="111"/>
      <c r="U245" s="111"/>
      <c r="V245" s="111"/>
      <c r="W245" s="111"/>
      <c r="X245" s="92" t="s">
        <v>79</v>
      </c>
      <c r="Y245" s="95" t="s">
        <v>91</v>
      </c>
      <c r="Z245" s="95"/>
      <c r="AA245" s="92" t="s">
        <v>79</v>
      </c>
      <c r="AB245" s="95" t="s">
        <v>91</v>
      </c>
      <c r="AC245" s="119"/>
      <c r="AD245" s="149">
        <v>1</v>
      </c>
    </row>
    <row r="246" spans="1:30" ht="60" hidden="1" customHeight="1" x14ac:dyDescent="0.3">
      <c r="A246" s="88">
        <v>245</v>
      </c>
      <c r="B246" s="121" t="s">
        <v>685</v>
      </c>
      <c r="C246" s="95"/>
      <c r="D246" s="113"/>
      <c r="E246" s="113" t="s">
        <v>328</v>
      </c>
      <c r="F246" s="95" t="s">
        <v>525</v>
      </c>
      <c r="G246" s="95" t="s">
        <v>34</v>
      </c>
      <c r="H246" s="88" t="s">
        <v>35</v>
      </c>
      <c r="I246" s="129" t="s">
        <v>893</v>
      </c>
      <c r="J246" s="88" t="s">
        <v>35</v>
      </c>
      <c r="K246" s="88" t="s">
        <v>38</v>
      </c>
      <c r="L246" s="95" t="s">
        <v>326</v>
      </c>
      <c r="M246" s="111"/>
      <c r="N246" s="111"/>
      <c r="O246" s="111"/>
      <c r="P246" s="111"/>
      <c r="Q246" s="111"/>
      <c r="R246" s="111"/>
      <c r="S246" s="111"/>
      <c r="T246" s="111"/>
      <c r="U246" s="111"/>
      <c r="V246" s="111"/>
      <c r="W246" s="111"/>
      <c r="X246" s="92" t="s">
        <v>91</v>
      </c>
      <c r="Y246" s="95" t="s">
        <v>91</v>
      </c>
      <c r="Z246" s="95"/>
      <c r="AA246" s="92" t="s">
        <v>91</v>
      </c>
      <c r="AB246" s="95" t="s">
        <v>91</v>
      </c>
      <c r="AC246" s="119"/>
      <c r="AD246" s="149">
        <v>1</v>
      </c>
    </row>
    <row r="247" spans="1:30" ht="60" hidden="1" customHeight="1" x14ac:dyDescent="0.3">
      <c r="A247" s="88">
        <v>246</v>
      </c>
      <c r="B247" s="121" t="s">
        <v>685</v>
      </c>
      <c r="C247" s="95" t="s">
        <v>894</v>
      </c>
      <c r="D247" s="113" t="s">
        <v>895</v>
      </c>
      <c r="E247" s="113" t="s">
        <v>896</v>
      </c>
      <c r="F247" s="95" t="s">
        <v>525</v>
      </c>
      <c r="G247" s="95" t="s">
        <v>34</v>
      </c>
      <c r="H247" s="88" t="s">
        <v>37</v>
      </c>
      <c r="I247" s="129" t="s">
        <v>897</v>
      </c>
      <c r="J247" s="88" t="s">
        <v>37</v>
      </c>
      <c r="K247" s="88" t="s">
        <v>38</v>
      </c>
      <c r="L247" s="95" t="s">
        <v>269</v>
      </c>
      <c r="M247" s="111"/>
      <c r="N247" s="111"/>
      <c r="O247" s="111"/>
      <c r="P247" s="111"/>
      <c r="Q247" s="111"/>
      <c r="R247" s="111"/>
      <c r="S247" s="111"/>
      <c r="T247" s="111"/>
      <c r="U247" s="111"/>
      <c r="V247" s="111"/>
      <c r="W247" s="111"/>
      <c r="X247" s="92" t="s">
        <v>79</v>
      </c>
      <c r="Y247" s="95" t="s">
        <v>79</v>
      </c>
      <c r="Z247" s="95"/>
      <c r="AA247" s="92" t="s">
        <v>79</v>
      </c>
      <c r="AB247" s="95" t="s">
        <v>79</v>
      </c>
      <c r="AC247" s="119"/>
      <c r="AD247" s="149">
        <v>1</v>
      </c>
    </row>
    <row r="248" spans="1:30" ht="60" hidden="1" customHeight="1" x14ac:dyDescent="0.3">
      <c r="A248" s="88">
        <v>247</v>
      </c>
      <c r="B248" s="121" t="s">
        <v>685</v>
      </c>
      <c r="C248" s="95" t="s">
        <v>898</v>
      </c>
      <c r="D248" s="113" t="s">
        <v>349</v>
      </c>
      <c r="E248" s="113" t="s">
        <v>899</v>
      </c>
      <c r="F248" s="95" t="s">
        <v>525</v>
      </c>
      <c r="G248" s="95" t="s">
        <v>34</v>
      </c>
      <c r="H248" s="88" t="s">
        <v>35</v>
      </c>
      <c r="I248" s="129" t="s">
        <v>900</v>
      </c>
      <c r="J248" s="88" t="s">
        <v>37</v>
      </c>
      <c r="K248" s="88" t="s">
        <v>38</v>
      </c>
      <c r="L248" s="95"/>
      <c r="M248" s="111"/>
      <c r="N248" s="111"/>
      <c r="O248" s="111"/>
      <c r="P248" s="111"/>
      <c r="Q248" s="111"/>
      <c r="R248" s="111"/>
      <c r="S248" s="111"/>
      <c r="T248" s="111"/>
      <c r="U248" s="111"/>
      <c r="V248" s="111"/>
      <c r="W248" s="111"/>
      <c r="X248" s="92" t="s">
        <v>79</v>
      </c>
      <c r="Y248" s="95" t="s">
        <v>79</v>
      </c>
      <c r="Z248" s="95"/>
      <c r="AA248" s="92" t="s">
        <v>79</v>
      </c>
      <c r="AB248" s="95" t="s">
        <v>79</v>
      </c>
      <c r="AC248" s="119"/>
      <c r="AD248" s="149">
        <v>1</v>
      </c>
    </row>
    <row r="249" spans="1:30" ht="60" hidden="1" customHeight="1" x14ac:dyDescent="0.3">
      <c r="A249" s="88">
        <v>248</v>
      </c>
      <c r="B249" s="121" t="s">
        <v>685</v>
      </c>
      <c r="C249" s="95" t="s">
        <v>901</v>
      </c>
      <c r="D249" s="113" t="s">
        <v>850</v>
      </c>
      <c r="E249" s="113" t="s">
        <v>902</v>
      </c>
      <c r="F249" s="95" t="s">
        <v>525</v>
      </c>
      <c r="G249" s="95" t="s">
        <v>34</v>
      </c>
      <c r="H249" s="88" t="s">
        <v>35</v>
      </c>
      <c r="I249" s="129" t="s">
        <v>903</v>
      </c>
      <c r="J249" s="88" t="s">
        <v>37</v>
      </c>
      <c r="K249" s="88" t="s">
        <v>38</v>
      </c>
      <c r="L249" s="95" t="s">
        <v>269</v>
      </c>
      <c r="M249" s="111"/>
      <c r="N249" s="111"/>
      <c r="O249" s="111"/>
      <c r="P249" s="111"/>
      <c r="Q249" s="111"/>
      <c r="R249" s="111"/>
      <c r="S249" s="111"/>
      <c r="T249" s="111"/>
      <c r="U249" s="111"/>
      <c r="V249" s="111"/>
      <c r="W249" s="111"/>
      <c r="X249" s="92" t="s">
        <v>79</v>
      </c>
      <c r="Y249" s="95" t="s">
        <v>79</v>
      </c>
      <c r="Z249" s="95"/>
      <c r="AA249" s="92" t="s">
        <v>79</v>
      </c>
      <c r="AB249" s="95" t="s">
        <v>79</v>
      </c>
      <c r="AC249" s="119"/>
      <c r="AD249" s="149">
        <v>1</v>
      </c>
    </row>
    <row r="250" spans="1:30" ht="60" hidden="1" customHeight="1" x14ac:dyDescent="0.3">
      <c r="A250" s="88">
        <v>249</v>
      </c>
      <c r="B250" s="121" t="s">
        <v>685</v>
      </c>
      <c r="C250" s="95" t="s">
        <v>904</v>
      </c>
      <c r="D250" s="113" t="s">
        <v>850</v>
      </c>
      <c r="E250" s="113" t="s">
        <v>905</v>
      </c>
      <c r="F250" s="95" t="s">
        <v>525</v>
      </c>
      <c r="G250" s="95" t="s">
        <v>34</v>
      </c>
      <c r="H250" s="88" t="s">
        <v>35</v>
      </c>
      <c r="I250" s="129" t="s">
        <v>906</v>
      </c>
      <c r="J250" s="88" t="s">
        <v>37</v>
      </c>
      <c r="K250" s="88" t="s">
        <v>38</v>
      </c>
      <c r="L250" s="95" t="s">
        <v>269</v>
      </c>
      <c r="M250" s="111"/>
      <c r="N250" s="111"/>
      <c r="O250" s="111"/>
      <c r="P250" s="111"/>
      <c r="Q250" s="111"/>
      <c r="R250" s="111"/>
      <c r="S250" s="111"/>
      <c r="T250" s="111"/>
      <c r="U250" s="111"/>
      <c r="V250" s="111"/>
      <c r="W250" s="111"/>
      <c r="X250" s="92" t="s">
        <v>79</v>
      </c>
      <c r="Y250" s="95" t="s">
        <v>79</v>
      </c>
      <c r="Z250" s="95"/>
      <c r="AA250" s="92" t="s">
        <v>79</v>
      </c>
      <c r="AB250" s="95" t="s">
        <v>79</v>
      </c>
      <c r="AC250" s="119"/>
      <c r="AD250" s="149">
        <v>1</v>
      </c>
    </row>
    <row r="251" spans="1:30" ht="60" hidden="1" customHeight="1" x14ac:dyDescent="0.3">
      <c r="A251" s="88">
        <v>250</v>
      </c>
      <c r="B251" s="121" t="s">
        <v>685</v>
      </c>
      <c r="C251" s="95" t="s">
        <v>907</v>
      </c>
      <c r="D251" s="113" t="s">
        <v>908</v>
      </c>
      <c r="E251" s="113" t="s">
        <v>156</v>
      </c>
      <c r="F251" s="95" t="s">
        <v>525</v>
      </c>
      <c r="G251" s="95" t="s">
        <v>34</v>
      </c>
      <c r="H251" s="88" t="s">
        <v>37</v>
      </c>
      <c r="I251" s="129" t="s">
        <v>906</v>
      </c>
      <c r="J251" s="88" t="s">
        <v>37</v>
      </c>
      <c r="K251" s="88" t="s">
        <v>38</v>
      </c>
      <c r="L251" s="95" t="s">
        <v>269</v>
      </c>
      <c r="M251" s="111"/>
      <c r="N251" s="111"/>
      <c r="O251" s="111"/>
      <c r="P251" s="111"/>
      <c r="Q251" s="111"/>
      <c r="R251" s="111"/>
      <c r="S251" s="111"/>
      <c r="T251" s="111"/>
      <c r="U251" s="111"/>
      <c r="V251" s="111"/>
      <c r="W251" s="111"/>
      <c r="X251" s="92" t="s">
        <v>79</v>
      </c>
      <c r="Y251" s="95" t="s">
        <v>79</v>
      </c>
      <c r="Z251" s="95"/>
      <c r="AA251" s="92" t="s">
        <v>79</v>
      </c>
      <c r="AB251" s="95" t="s">
        <v>79</v>
      </c>
      <c r="AC251" s="119"/>
      <c r="AD251" s="149">
        <v>1</v>
      </c>
    </row>
    <row r="252" spans="1:30" ht="105" hidden="1" customHeight="1" x14ac:dyDescent="0.3">
      <c r="A252" s="88">
        <v>251</v>
      </c>
      <c r="B252" s="121" t="s">
        <v>685</v>
      </c>
      <c r="C252" s="95" t="s">
        <v>909</v>
      </c>
      <c r="D252" s="113" t="s">
        <v>438</v>
      </c>
      <c r="E252" s="113" t="s">
        <v>808</v>
      </c>
      <c r="F252" s="95" t="s">
        <v>525</v>
      </c>
      <c r="G252" s="95" t="s">
        <v>34</v>
      </c>
      <c r="H252" s="88" t="s">
        <v>35</v>
      </c>
      <c r="I252" s="129" t="s">
        <v>906</v>
      </c>
      <c r="J252" s="88" t="s">
        <v>35</v>
      </c>
      <c r="K252" s="88" t="s">
        <v>38</v>
      </c>
      <c r="L252" s="95" t="s">
        <v>269</v>
      </c>
      <c r="M252" s="111"/>
      <c r="N252" s="111"/>
      <c r="O252" s="111"/>
      <c r="P252" s="111"/>
      <c r="Q252" s="111"/>
      <c r="R252" s="111"/>
      <c r="S252" s="111"/>
      <c r="T252" s="111"/>
      <c r="U252" s="111"/>
      <c r="V252" s="111"/>
      <c r="W252" s="111"/>
      <c r="X252" s="92" t="s">
        <v>79</v>
      </c>
      <c r="Y252" s="95" t="s">
        <v>79</v>
      </c>
      <c r="Z252" s="95"/>
      <c r="AA252" s="92" t="s">
        <v>79</v>
      </c>
      <c r="AB252" s="95" t="s">
        <v>79</v>
      </c>
      <c r="AC252" s="119"/>
      <c r="AD252" s="149">
        <v>1</v>
      </c>
    </row>
    <row r="253" spans="1:30" ht="60" hidden="1" customHeight="1" x14ac:dyDescent="0.3">
      <c r="A253" s="88">
        <v>252</v>
      </c>
      <c r="B253" s="121" t="s">
        <v>685</v>
      </c>
      <c r="C253" s="95"/>
      <c r="D253" s="113"/>
      <c r="E253" s="113" t="s">
        <v>910</v>
      </c>
      <c r="F253" s="95" t="s">
        <v>525</v>
      </c>
      <c r="G253" s="95" t="s">
        <v>34</v>
      </c>
      <c r="H253" s="88" t="s">
        <v>35</v>
      </c>
      <c r="I253" s="129" t="s">
        <v>897</v>
      </c>
      <c r="J253" s="88" t="s">
        <v>37</v>
      </c>
      <c r="K253" s="88" t="s">
        <v>38</v>
      </c>
      <c r="L253" s="95" t="s">
        <v>269</v>
      </c>
      <c r="M253" s="111"/>
      <c r="N253" s="111"/>
      <c r="O253" s="111"/>
      <c r="P253" s="111"/>
      <c r="Q253" s="111"/>
      <c r="R253" s="111"/>
      <c r="S253" s="111"/>
      <c r="T253" s="111"/>
      <c r="U253" s="111"/>
      <c r="V253" s="111"/>
      <c r="W253" s="111"/>
      <c r="X253" s="92" t="s">
        <v>43</v>
      </c>
      <c r="Y253" s="95" t="s">
        <v>79</v>
      </c>
      <c r="Z253" s="95"/>
      <c r="AA253" s="92" t="s">
        <v>43</v>
      </c>
      <c r="AB253" s="95" t="s">
        <v>79</v>
      </c>
      <c r="AC253" s="119"/>
      <c r="AD253" s="149">
        <v>1</v>
      </c>
    </row>
    <row r="254" spans="1:30" ht="60" hidden="1" customHeight="1" x14ac:dyDescent="0.3">
      <c r="A254" s="88">
        <v>253</v>
      </c>
      <c r="B254" s="121" t="s">
        <v>685</v>
      </c>
      <c r="C254" s="95" t="s">
        <v>911</v>
      </c>
      <c r="D254" s="116" t="s">
        <v>912</v>
      </c>
      <c r="E254" s="116" t="s">
        <v>301</v>
      </c>
      <c r="F254" s="95" t="s">
        <v>525</v>
      </c>
      <c r="G254" s="95" t="s">
        <v>34</v>
      </c>
      <c r="H254" s="88" t="s">
        <v>35</v>
      </c>
      <c r="I254" s="129" t="s">
        <v>893</v>
      </c>
      <c r="J254" s="88" t="s">
        <v>37</v>
      </c>
      <c r="K254" s="88" t="s">
        <v>38</v>
      </c>
      <c r="L254" s="117" t="s">
        <v>326</v>
      </c>
      <c r="M254" s="111"/>
      <c r="N254" s="111"/>
      <c r="O254" s="111"/>
      <c r="P254" s="111"/>
      <c r="Q254" s="111"/>
      <c r="R254" s="111"/>
      <c r="S254" s="111"/>
      <c r="T254" s="111"/>
      <c r="U254" s="111"/>
      <c r="V254" s="111"/>
      <c r="W254" s="111"/>
      <c r="X254" s="92" t="s">
        <v>79</v>
      </c>
      <c r="Y254" s="95" t="s">
        <v>79</v>
      </c>
      <c r="Z254" s="95"/>
      <c r="AA254" s="92" t="s">
        <v>79</v>
      </c>
      <c r="AB254" s="95" t="s">
        <v>79</v>
      </c>
      <c r="AC254" s="119"/>
      <c r="AD254" s="149">
        <v>1</v>
      </c>
    </row>
    <row r="255" spans="1:30" ht="75" hidden="1" customHeight="1" x14ac:dyDescent="0.3">
      <c r="A255" s="88">
        <v>254</v>
      </c>
      <c r="B255" s="121" t="s">
        <v>685</v>
      </c>
      <c r="C255" s="95" t="s">
        <v>913</v>
      </c>
      <c r="D255" s="116" t="s">
        <v>914</v>
      </c>
      <c r="E255" s="116" t="s">
        <v>597</v>
      </c>
      <c r="F255" s="95" t="s">
        <v>525</v>
      </c>
      <c r="G255" s="95" t="s">
        <v>34</v>
      </c>
      <c r="H255" s="88" t="s">
        <v>35</v>
      </c>
      <c r="I255" s="129" t="s">
        <v>739</v>
      </c>
      <c r="J255" s="88" t="s">
        <v>35</v>
      </c>
      <c r="K255" s="88" t="s">
        <v>38</v>
      </c>
      <c r="L255" s="117" t="s">
        <v>326</v>
      </c>
      <c r="M255" s="111"/>
      <c r="N255" s="111"/>
      <c r="O255" s="111"/>
      <c r="P255" s="111"/>
      <c r="Q255" s="111"/>
      <c r="R255" s="111"/>
      <c r="S255" s="111"/>
      <c r="T255" s="111"/>
      <c r="U255" s="111"/>
      <c r="V255" s="111"/>
      <c r="W255" s="111"/>
      <c r="X255" s="92" t="s">
        <v>79</v>
      </c>
      <c r="Y255" s="95" t="s">
        <v>79</v>
      </c>
      <c r="Z255" s="95"/>
      <c r="AA255" s="92" t="s">
        <v>79</v>
      </c>
      <c r="AB255" s="95" t="s">
        <v>79</v>
      </c>
      <c r="AC255" s="119"/>
      <c r="AD255" s="149">
        <v>1</v>
      </c>
    </row>
    <row r="256" spans="1:30" ht="60" hidden="1" customHeight="1" x14ac:dyDescent="0.3">
      <c r="A256" s="88">
        <v>255</v>
      </c>
      <c r="B256" s="121" t="s">
        <v>685</v>
      </c>
      <c r="C256" s="95" t="s">
        <v>915</v>
      </c>
      <c r="D256" s="116" t="s">
        <v>737</v>
      </c>
      <c r="E256" s="116" t="s">
        <v>916</v>
      </c>
      <c r="F256" s="95" t="s">
        <v>525</v>
      </c>
      <c r="G256" s="95" t="s">
        <v>34</v>
      </c>
      <c r="H256" s="88" t="s">
        <v>35</v>
      </c>
      <c r="I256" s="129" t="s">
        <v>917</v>
      </c>
      <c r="J256" s="88" t="s">
        <v>37</v>
      </c>
      <c r="K256" s="88" t="s">
        <v>38</v>
      </c>
      <c r="L256" s="117" t="s">
        <v>565</v>
      </c>
      <c r="M256" s="111"/>
      <c r="N256" s="111"/>
      <c r="O256" s="111"/>
      <c r="P256" s="111"/>
      <c r="Q256" s="111"/>
      <c r="R256" s="111"/>
      <c r="S256" s="111"/>
      <c r="T256" s="111"/>
      <c r="U256" s="111"/>
      <c r="V256" s="111"/>
      <c r="W256" s="111"/>
      <c r="X256" s="92" t="s">
        <v>79</v>
      </c>
      <c r="Y256" s="95" t="s">
        <v>43</v>
      </c>
      <c r="Z256" s="95"/>
      <c r="AA256" s="92" t="s">
        <v>79</v>
      </c>
      <c r="AB256" s="95" t="s">
        <v>43</v>
      </c>
      <c r="AC256" s="119"/>
      <c r="AD256" s="149">
        <v>1</v>
      </c>
    </row>
    <row r="257" spans="1:30" ht="60" hidden="1" customHeight="1" x14ac:dyDescent="0.3">
      <c r="A257" s="88">
        <v>256</v>
      </c>
      <c r="B257" s="121" t="s">
        <v>685</v>
      </c>
      <c r="C257" s="95"/>
      <c r="D257" s="116"/>
      <c r="E257" s="116" t="s">
        <v>918</v>
      </c>
      <c r="F257" s="95" t="s">
        <v>525</v>
      </c>
      <c r="G257" s="95" t="s">
        <v>34</v>
      </c>
      <c r="H257" s="88" t="s">
        <v>37</v>
      </c>
      <c r="I257" s="129" t="s">
        <v>917</v>
      </c>
      <c r="J257" s="88" t="s">
        <v>35</v>
      </c>
      <c r="K257" s="88" t="s">
        <v>38</v>
      </c>
      <c r="L257" s="117" t="s">
        <v>565</v>
      </c>
      <c r="M257" s="111"/>
      <c r="N257" s="111"/>
      <c r="O257" s="111"/>
      <c r="P257" s="111"/>
      <c r="Q257" s="111"/>
      <c r="R257" s="111"/>
      <c r="S257" s="111"/>
      <c r="T257" s="111"/>
      <c r="U257" s="111"/>
      <c r="V257" s="111"/>
      <c r="W257" s="111"/>
      <c r="X257" s="92" t="s">
        <v>79</v>
      </c>
      <c r="Y257" s="95" t="s">
        <v>79</v>
      </c>
      <c r="Z257" s="95"/>
      <c r="AA257" s="92" t="s">
        <v>79</v>
      </c>
      <c r="AB257" s="95" t="s">
        <v>79</v>
      </c>
      <c r="AC257" s="119"/>
      <c r="AD257" s="149">
        <v>1</v>
      </c>
    </row>
    <row r="258" spans="1:30" ht="60" hidden="1" customHeight="1" x14ac:dyDescent="0.3">
      <c r="A258" s="88">
        <v>257</v>
      </c>
      <c r="B258" s="121" t="s">
        <v>685</v>
      </c>
      <c r="C258" s="95"/>
      <c r="D258" s="116"/>
      <c r="E258" s="116" t="s">
        <v>390</v>
      </c>
      <c r="F258" s="95" t="s">
        <v>525</v>
      </c>
      <c r="G258" s="95" t="s">
        <v>34</v>
      </c>
      <c r="H258" s="88" t="s">
        <v>35</v>
      </c>
      <c r="I258" s="129" t="s">
        <v>917</v>
      </c>
      <c r="J258" s="88" t="s">
        <v>37</v>
      </c>
      <c r="K258" s="88" t="s">
        <v>38</v>
      </c>
      <c r="L258" s="117" t="s">
        <v>565</v>
      </c>
      <c r="M258" s="111"/>
      <c r="N258" s="111"/>
      <c r="O258" s="111"/>
      <c r="P258" s="111"/>
      <c r="Q258" s="111"/>
      <c r="R258" s="111"/>
      <c r="S258" s="111"/>
      <c r="T258" s="111"/>
      <c r="U258" s="111"/>
      <c r="V258" s="111"/>
      <c r="W258" s="111"/>
      <c r="X258" s="92" t="s">
        <v>91</v>
      </c>
      <c r="Y258" s="95" t="s">
        <v>185</v>
      </c>
      <c r="Z258" s="95"/>
      <c r="AA258" s="92" t="s">
        <v>91</v>
      </c>
      <c r="AB258" s="95" t="s">
        <v>185</v>
      </c>
      <c r="AC258" s="119"/>
      <c r="AD258" s="149">
        <v>1</v>
      </c>
    </row>
    <row r="259" spans="1:30" ht="60" hidden="1" customHeight="1" x14ac:dyDescent="0.3">
      <c r="A259" s="88">
        <v>258</v>
      </c>
      <c r="B259" s="121" t="s">
        <v>685</v>
      </c>
      <c r="C259" s="95"/>
      <c r="D259" s="116"/>
      <c r="E259" s="116" t="s">
        <v>919</v>
      </c>
      <c r="F259" s="95" t="s">
        <v>525</v>
      </c>
      <c r="G259" s="95" t="s">
        <v>34</v>
      </c>
      <c r="H259" s="88" t="s">
        <v>35</v>
      </c>
      <c r="I259" s="129" t="s">
        <v>917</v>
      </c>
      <c r="J259" s="88" t="s">
        <v>37</v>
      </c>
      <c r="K259" s="88" t="s">
        <v>38</v>
      </c>
      <c r="L259" s="117" t="s">
        <v>565</v>
      </c>
      <c r="M259" s="111"/>
      <c r="N259" s="111"/>
      <c r="O259" s="111"/>
      <c r="P259" s="111"/>
      <c r="Q259" s="111"/>
      <c r="R259" s="111"/>
      <c r="S259" s="111"/>
      <c r="T259" s="111"/>
      <c r="U259" s="111"/>
      <c r="V259" s="111"/>
      <c r="W259" s="111"/>
      <c r="X259" s="92" t="s">
        <v>42</v>
      </c>
      <c r="Y259" s="95" t="s">
        <v>91</v>
      </c>
      <c r="Z259" s="95"/>
      <c r="AA259" s="92" t="s">
        <v>42</v>
      </c>
      <c r="AB259" s="95" t="s">
        <v>91</v>
      </c>
      <c r="AC259" s="119"/>
      <c r="AD259" s="149">
        <v>1</v>
      </c>
    </row>
    <row r="260" spans="1:30" ht="75" hidden="1" customHeight="1" x14ac:dyDescent="0.3">
      <c r="A260" s="88">
        <v>259</v>
      </c>
      <c r="B260" s="121" t="s">
        <v>685</v>
      </c>
      <c r="C260" s="95" t="s">
        <v>920</v>
      </c>
      <c r="D260" s="116" t="s">
        <v>163</v>
      </c>
      <c r="E260" s="116" t="s">
        <v>567</v>
      </c>
      <c r="F260" s="95" t="s">
        <v>525</v>
      </c>
      <c r="G260" s="95" t="s">
        <v>34</v>
      </c>
      <c r="H260" s="88" t="s">
        <v>35</v>
      </c>
      <c r="I260" s="129" t="s">
        <v>921</v>
      </c>
      <c r="J260" s="88" t="s">
        <v>37</v>
      </c>
      <c r="K260" s="88" t="s">
        <v>38</v>
      </c>
      <c r="L260" s="117" t="s">
        <v>565</v>
      </c>
      <c r="M260" s="111"/>
      <c r="N260" s="111"/>
      <c r="O260" s="111"/>
      <c r="P260" s="111"/>
      <c r="Q260" s="111"/>
      <c r="R260" s="111"/>
      <c r="S260" s="111"/>
      <c r="T260" s="111"/>
      <c r="U260" s="111"/>
      <c r="V260" s="111"/>
      <c r="W260" s="111"/>
      <c r="X260" s="92" t="s">
        <v>79</v>
      </c>
      <c r="Y260" s="95" t="s">
        <v>91</v>
      </c>
      <c r="Z260" s="95"/>
      <c r="AA260" s="92" t="s">
        <v>79</v>
      </c>
      <c r="AB260" s="95" t="s">
        <v>91</v>
      </c>
      <c r="AC260" s="119"/>
      <c r="AD260" s="149">
        <v>1</v>
      </c>
    </row>
    <row r="261" spans="1:30" ht="120" hidden="1" customHeight="1" x14ac:dyDescent="0.3">
      <c r="A261" s="88">
        <v>260</v>
      </c>
      <c r="B261" s="121" t="s">
        <v>30</v>
      </c>
      <c r="C261" s="95" t="s">
        <v>922</v>
      </c>
      <c r="D261" s="116" t="s">
        <v>923</v>
      </c>
      <c r="E261" s="116"/>
      <c r="F261" s="95" t="s">
        <v>33</v>
      </c>
      <c r="G261" s="95" t="s">
        <v>34</v>
      </c>
      <c r="H261" s="88" t="s">
        <v>35</v>
      </c>
      <c r="I261" s="129" t="s">
        <v>36</v>
      </c>
      <c r="J261" s="88" t="s">
        <v>35</v>
      </c>
      <c r="K261" s="88" t="s">
        <v>38</v>
      </c>
      <c r="L261" s="117" t="s">
        <v>924</v>
      </c>
      <c r="M261" s="95" t="s">
        <v>40</v>
      </c>
      <c r="N261" s="95">
        <v>27</v>
      </c>
      <c r="O261" s="95"/>
      <c r="P261" s="95">
        <v>7</v>
      </c>
      <c r="Q261" s="95">
        <v>11</v>
      </c>
      <c r="R261" s="95">
        <v>4</v>
      </c>
      <c r="S261" s="95" t="s">
        <v>782</v>
      </c>
      <c r="T261" s="95">
        <v>4</v>
      </c>
      <c r="U261" s="95"/>
      <c r="V261" s="95">
        <v>6</v>
      </c>
      <c r="W261" s="95"/>
      <c r="X261" s="113" t="s">
        <v>42</v>
      </c>
      <c r="Y261" s="95" t="s">
        <v>43</v>
      </c>
      <c r="Z261" s="95"/>
      <c r="AA261" s="113" t="s">
        <v>42</v>
      </c>
      <c r="AB261" s="95" t="s">
        <v>43</v>
      </c>
      <c r="AC261" s="132"/>
      <c r="AD261" s="148">
        <v>2</v>
      </c>
    </row>
    <row r="262" spans="1:30" ht="75" hidden="1" customHeight="1" x14ac:dyDescent="0.3">
      <c r="A262" s="88">
        <v>261</v>
      </c>
      <c r="B262" s="121" t="s">
        <v>30</v>
      </c>
      <c r="C262" s="95" t="s">
        <v>925</v>
      </c>
      <c r="D262" s="116" t="s">
        <v>563</v>
      </c>
      <c r="E262" s="116"/>
      <c r="F262" s="95" t="s">
        <v>33</v>
      </c>
      <c r="G262" s="95" t="s">
        <v>34</v>
      </c>
      <c r="H262" s="88" t="s">
        <v>35</v>
      </c>
      <c r="I262" s="129" t="s">
        <v>926</v>
      </c>
      <c r="J262" s="88" t="s">
        <v>37</v>
      </c>
      <c r="K262" s="88" t="s">
        <v>38</v>
      </c>
      <c r="L262" s="117" t="s">
        <v>47</v>
      </c>
      <c r="M262" s="95" t="s">
        <v>48</v>
      </c>
      <c r="N262" s="95"/>
      <c r="O262" s="95"/>
      <c r="P262" s="95"/>
      <c r="Q262" s="95"/>
      <c r="R262" s="95"/>
      <c r="S262" s="95"/>
      <c r="T262" s="95"/>
      <c r="U262" s="95"/>
      <c r="V262" s="95"/>
      <c r="W262" s="95"/>
      <c r="X262" s="113" t="s">
        <v>42</v>
      </c>
      <c r="Y262" s="95" t="s">
        <v>42</v>
      </c>
      <c r="Z262" s="95"/>
      <c r="AA262" s="113" t="s">
        <v>42</v>
      </c>
      <c r="AB262" s="95" t="s">
        <v>42</v>
      </c>
      <c r="AC262" s="132"/>
      <c r="AD262" s="148">
        <v>2</v>
      </c>
    </row>
    <row r="263" spans="1:30" ht="180" hidden="1" customHeight="1" x14ac:dyDescent="0.3">
      <c r="A263" s="88">
        <v>262</v>
      </c>
      <c r="B263" s="121" t="s">
        <v>30</v>
      </c>
      <c r="C263" s="95" t="s">
        <v>927</v>
      </c>
      <c r="D263" s="116" t="s">
        <v>478</v>
      </c>
      <c r="E263" s="116"/>
      <c r="F263" s="95" t="s">
        <v>33</v>
      </c>
      <c r="G263" s="95" t="s">
        <v>34</v>
      </c>
      <c r="H263" s="88" t="s">
        <v>35</v>
      </c>
      <c r="I263" s="129" t="s">
        <v>928</v>
      </c>
      <c r="J263" s="88" t="s">
        <v>35</v>
      </c>
      <c r="K263" s="88" t="s">
        <v>38</v>
      </c>
      <c r="L263" s="117" t="s">
        <v>929</v>
      </c>
      <c r="M263" s="95" t="s">
        <v>54</v>
      </c>
      <c r="N263" s="95"/>
      <c r="O263" s="95"/>
      <c r="P263" s="95"/>
      <c r="Q263" s="95"/>
      <c r="R263" s="95"/>
      <c r="S263" s="95" t="s">
        <v>930</v>
      </c>
      <c r="T263" s="95"/>
      <c r="U263" s="95"/>
      <c r="V263" s="95"/>
      <c r="W263" s="95"/>
      <c r="X263" s="113" t="s">
        <v>79</v>
      </c>
      <c r="Y263" s="95" t="s">
        <v>43</v>
      </c>
      <c r="Z263" s="95"/>
      <c r="AA263" s="113" t="s">
        <v>79</v>
      </c>
      <c r="AB263" s="95" t="s">
        <v>43</v>
      </c>
      <c r="AC263" s="132"/>
      <c r="AD263" s="148">
        <v>2</v>
      </c>
    </row>
    <row r="264" spans="1:30" ht="165" hidden="1" customHeight="1" x14ac:dyDescent="0.3">
      <c r="A264" s="88">
        <v>263</v>
      </c>
      <c r="B264" s="121" t="s">
        <v>129</v>
      </c>
      <c r="C264" s="114" t="s">
        <v>931</v>
      </c>
      <c r="D264" s="116" t="s">
        <v>131</v>
      </c>
      <c r="E264" s="116" t="s">
        <v>132</v>
      </c>
      <c r="F264" s="95" t="s">
        <v>133</v>
      </c>
      <c r="G264" s="95" t="s">
        <v>134</v>
      </c>
      <c r="H264" s="88" t="s">
        <v>37</v>
      </c>
      <c r="I264" s="129" t="s">
        <v>135</v>
      </c>
      <c r="J264" s="88" t="s">
        <v>37</v>
      </c>
      <c r="K264" s="88" t="s">
        <v>38</v>
      </c>
      <c r="L264" s="117" t="s">
        <v>932</v>
      </c>
      <c r="M264" s="95"/>
      <c r="N264" s="95"/>
      <c r="O264" s="95"/>
      <c r="P264" s="95"/>
      <c r="Q264" s="95" t="s">
        <v>98</v>
      </c>
      <c r="R264" s="95"/>
      <c r="S264" s="95" t="s">
        <v>933</v>
      </c>
      <c r="T264" s="95"/>
      <c r="U264" s="95"/>
      <c r="V264" s="95"/>
      <c r="W264" s="95"/>
      <c r="X264" s="113" t="s">
        <v>43</v>
      </c>
      <c r="Y264" s="95" t="s">
        <v>43</v>
      </c>
      <c r="Z264" s="95"/>
      <c r="AA264" s="113" t="s">
        <v>43</v>
      </c>
      <c r="AB264" s="95" t="s">
        <v>43</v>
      </c>
      <c r="AC264" s="132"/>
      <c r="AD264" s="148">
        <v>2</v>
      </c>
    </row>
    <row r="265" spans="1:30" ht="75.75" hidden="1" customHeight="1" x14ac:dyDescent="0.3">
      <c r="A265" s="88">
        <v>264</v>
      </c>
      <c r="B265" s="121" t="s">
        <v>139</v>
      </c>
      <c r="C265" s="95" t="s">
        <v>934</v>
      </c>
      <c r="D265" s="116" t="s">
        <v>935</v>
      </c>
      <c r="E265" s="116"/>
      <c r="F265" s="95" t="s">
        <v>936</v>
      </c>
      <c r="G265" s="95" t="s">
        <v>937</v>
      </c>
      <c r="H265" s="88" t="s">
        <v>35</v>
      </c>
      <c r="I265" s="129" t="s">
        <v>938</v>
      </c>
      <c r="J265" s="88" t="s">
        <v>37</v>
      </c>
      <c r="K265" s="88" t="s">
        <v>38</v>
      </c>
      <c r="L265" s="117" t="s">
        <v>939</v>
      </c>
      <c r="M265" s="95"/>
      <c r="N265" s="95"/>
      <c r="O265" s="95"/>
      <c r="P265" s="133"/>
      <c r="Q265" s="95"/>
      <c r="R265" s="133"/>
      <c r="S265" s="95" t="s">
        <v>112</v>
      </c>
      <c r="T265" s="133"/>
      <c r="U265" s="95"/>
      <c r="V265" s="133"/>
      <c r="W265" s="95"/>
      <c r="X265" s="113" t="s">
        <v>79</v>
      </c>
      <c r="Y265" s="95" t="s">
        <v>43</v>
      </c>
      <c r="Z265" s="95"/>
      <c r="AA265" s="113" t="s">
        <v>79</v>
      </c>
      <c r="AB265" s="95" t="s">
        <v>43</v>
      </c>
      <c r="AC265" s="132"/>
      <c r="AD265" s="148">
        <v>2</v>
      </c>
    </row>
    <row r="266" spans="1:30" ht="180" hidden="1" customHeight="1" x14ac:dyDescent="0.3">
      <c r="A266" s="88">
        <v>265</v>
      </c>
      <c r="B266" s="121" t="s">
        <v>278</v>
      </c>
      <c r="C266" s="134" t="s">
        <v>940</v>
      </c>
      <c r="D266" s="116" t="s">
        <v>941</v>
      </c>
      <c r="E266" s="116" t="s">
        <v>942</v>
      </c>
      <c r="F266" s="95">
        <v>2023</v>
      </c>
      <c r="G266" s="95" t="s">
        <v>943</v>
      </c>
      <c r="H266" s="88" t="s">
        <v>35</v>
      </c>
      <c r="I266" s="129" t="s">
        <v>944</v>
      </c>
      <c r="J266" s="88" t="s">
        <v>35</v>
      </c>
      <c r="K266" s="88" t="s">
        <v>38</v>
      </c>
      <c r="L266" s="117" t="s">
        <v>939</v>
      </c>
      <c r="M266" s="95"/>
      <c r="N266" s="95"/>
      <c r="O266" s="95"/>
      <c r="P266" s="95"/>
      <c r="Q266" s="95"/>
      <c r="R266" s="95"/>
      <c r="S266" s="95" t="s">
        <v>945</v>
      </c>
      <c r="T266" s="122"/>
      <c r="U266" s="122"/>
      <c r="V266" s="122"/>
      <c r="W266" s="122"/>
      <c r="X266" s="113" t="s">
        <v>79</v>
      </c>
      <c r="Y266" s="95" t="s">
        <v>42</v>
      </c>
      <c r="Z266" s="95"/>
      <c r="AA266" s="113" t="s">
        <v>79</v>
      </c>
      <c r="AB266" s="95" t="s">
        <v>42</v>
      </c>
      <c r="AC266" s="132"/>
      <c r="AD266" s="148">
        <v>2</v>
      </c>
    </row>
    <row r="267" spans="1:30" ht="180" hidden="1" customHeight="1" x14ac:dyDescent="0.3">
      <c r="A267" s="88">
        <v>266</v>
      </c>
      <c r="B267" s="121" t="s">
        <v>278</v>
      </c>
      <c r="C267" s="134"/>
      <c r="D267" s="116"/>
      <c r="E267" s="116" t="s">
        <v>946</v>
      </c>
      <c r="F267" s="95" t="s">
        <v>947</v>
      </c>
      <c r="G267" s="95" t="s">
        <v>943</v>
      </c>
      <c r="H267" s="88" t="s">
        <v>35</v>
      </c>
      <c r="I267" s="129" t="s">
        <v>944</v>
      </c>
      <c r="J267" s="88" t="s">
        <v>35</v>
      </c>
      <c r="K267" s="88" t="s">
        <v>38</v>
      </c>
      <c r="L267" s="117" t="s">
        <v>939</v>
      </c>
      <c r="M267" s="95"/>
      <c r="N267" s="95"/>
      <c r="O267" s="95"/>
      <c r="P267" s="95"/>
      <c r="Q267" s="95"/>
      <c r="R267" s="95"/>
      <c r="S267" s="95" t="s">
        <v>948</v>
      </c>
      <c r="T267" s="122"/>
      <c r="U267" s="122"/>
      <c r="V267" s="122"/>
      <c r="W267" s="122"/>
      <c r="X267" s="113" t="s">
        <v>79</v>
      </c>
      <c r="Y267" s="95" t="s">
        <v>43</v>
      </c>
      <c r="Z267" s="95"/>
      <c r="AA267" s="113" t="s">
        <v>79</v>
      </c>
      <c r="AB267" s="95" t="s">
        <v>43</v>
      </c>
      <c r="AC267" s="132"/>
      <c r="AD267" s="148">
        <v>2</v>
      </c>
    </row>
    <row r="268" spans="1:30" ht="180" hidden="1" customHeight="1" x14ac:dyDescent="0.3">
      <c r="A268" s="88">
        <v>267</v>
      </c>
      <c r="B268" s="121" t="s">
        <v>278</v>
      </c>
      <c r="C268" s="134"/>
      <c r="D268" s="116"/>
      <c r="E268" s="116" t="s">
        <v>949</v>
      </c>
      <c r="F268" s="95">
        <v>2026</v>
      </c>
      <c r="G268" s="95" t="s">
        <v>943</v>
      </c>
      <c r="H268" s="88" t="s">
        <v>35</v>
      </c>
      <c r="I268" s="129" t="s">
        <v>944</v>
      </c>
      <c r="J268" s="88" t="s">
        <v>35</v>
      </c>
      <c r="K268" s="88" t="s">
        <v>38</v>
      </c>
      <c r="L268" s="117" t="s">
        <v>939</v>
      </c>
      <c r="M268" s="95"/>
      <c r="N268" s="95"/>
      <c r="O268" s="95"/>
      <c r="P268" s="95"/>
      <c r="Q268" s="95"/>
      <c r="R268" s="95"/>
      <c r="S268" s="95" t="s">
        <v>950</v>
      </c>
      <c r="T268" s="122"/>
      <c r="U268" s="122"/>
      <c r="V268" s="122"/>
      <c r="W268" s="122"/>
      <c r="X268" s="113" t="s">
        <v>79</v>
      </c>
      <c r="Y268" s="95" t="s">
        <v>75</v>
      </c>
      <c r="Z268" s="95"/>
      <c r="AA268" s="113" t="s">
        <v>79</v>
      </c>
      <c r="AB268" s="95" t="s">
        <v>75</v>
      </c>
      <c r="AC268" s="132"/>
      <c r="AD268" s="148">
        <v>2</v>
      </c>
    </row>
    <row r="269" spans="1:30" ht="75" hidden="1" customHeight="1" x14ac:dyDescent="0.3">
      <c r="A269" s="88">
        <v>268</v>
      </c>
      <c r="B269" s="121" t="s">
        <v>309</v>
      </c>
      <c r="C269" s="95" t="s">
        <v>951</v>
      </c>
      <c r="D269" s="116" t="s">
        <v>323</v>
      </c>
      <c r="E269" s="116" t="s">
        <v>952</v>
      </c>
      <c r="F269" s="95" t="s">
        <v>312</v>
      </c>
      <c r="G269" s="95" t="s">
        <v>324</v>
      </c>
      <c r="H269" s="88" t="s">
        <v>35</v>
      </c>
      <c r="I269" s="129" t="s">
        <v>325</v>
      </c>
      <c r="J269" s="88" t="s">
        <v>37</v>
      </c>
      <c r="K269" s="88" t="s">
        <v>38</v>
      </c>
      <c r="L269" s="117" t="s">
        <v>953</v>
      </c>
      <c r="M269" s="95"/>
      <c r="N269" s="95"/>
      <c r="O269" s="95"/>
      <c r="P269" s="95"/>
      <c r="Q269" s="95"/>
      <c r="R269" s="95"/>
      <c r="S269" s="95" t="s">
        <v>277</v>
      </c>
      <c r="T269" s="95"/>
      <c r="U269" s="95"/>
      <c r="V269" s="95"/>
      <c r="W269" s="95"/>
      <c r="X269" s="113" t="s">
        <v>185</v>
      </c>
      <c r="Y269" s="95" t="s">
        <v>43</v>
      </c>
      <c r="Z269" s="95"/>
      <c r="AA269" s="113" t="s">
        <v>185</v>
      </c>
      <c r="AB269" s="95" t="s">
        <v>43</v>
      </c>
      <c r="AC269" s="132"/>
      <c r="AD269" s="148">
        <v>2</v>
      </c>
    </row>
    <row r="270" spans="1:30" ht="285" hidden="1" customHeight="1" x14ac:dyDescent="0.3">
      <c r="A270" s="88">
        <v>269</v>
      </c>
      <c r="B270" s="121" t="s">
        <v>346</v>
      </c>
      <c r="C270" s="95" t="s">
        <v>954</v>
      </c>
      <c r="D270" s="116" t="s">
        <v>567</v>
      </c>
      <c r="E270" s="116" t="s">
        <v>454</v>
      </c>
      <c r="F270" s="95">
        <v>2026</v>
      </c>
      <c r="G270" s="95" t="s">
        <v>955</v>
      </c>
      <c r="H270" s="88" t="s">
        <v>35</v>
      </c>
      <c r="I270" s="129" t="s">
        <v>956</v>
      </c>
      <c r="J270" s="88" t="s">
        <v>37</v>
      </c>
      <c r="K270" s="88" t="s">
        <v>38</v>
      </c>
      <c r="L270" s="117" t="s">
        <v>939</v>
      </c>
      <c r="M270" s="95"/>
      <c r="N270" s="95"/>
      <c r="O270" s="95"/>
      <c r="P270" s="95"/>
      <c r="Q270" s="95"/>
      <c r="R270" s="95"/>
      <c r="S270" s="95" t="s">
        <v>945</v>
      </c>
      <c r="T270" s="95"/>
      <c r="U270" s="95"/>
      <c r="V270" s="95"/>
      <c r="W270" s="95"/>
      <c r="X270" s="113" t="s">
        <v>79</v>
      </c>
      <c r="Y270" s="95" t="s">
        <v>43</v>
      </c>
      <c r="Z270" s="95"/>
      <c r="AA270" s="113" t="s">
        <v>79</v>
      </c>
      <c r="AB270" s="95" t="s">
        <v>43</v>
      </c>
      <c r="AC270" s="132"/>
      <c r="AD270" s="148">
        <v>2</v>
      </c>
    </row>
    <row r="271" spans="1:30" ht="150" hidden="1" customHeight="1" x14ac:dyDescent="0.3">
      <c r="A271" s="88">
        <v>270</v>
      </c>
      <c r="B271" s="121" t="s">
        <v>346</v>
      </c>
      <c r="C271" s="114" t="s">
        <v>957</v>
      </c>
      <c r="D271" s="116" t="s">
        <v>958</v>
      </c>
      <c r="E271" s="116" t="s">
        <v>355</v>
      </c>
      <c r="F271" s="95">
        <v>2026</v>
      </c>
      <c r="G271" s="95" t="s">
        <v>959</v>
      </c>
      <c r="H271" s="88" t="s">
        <v>35</v>
      </c>
      <c r="I271" s="129" t="s">
        <v>960</v>
      </c>
      <c r="J271" s="88" t="s">
        <v>35</v>
      </c>
      <c r="K271" s="88" t="s">
        <v>38</v>
      </c>
      <c r="L271" s="117" t="s">
        <v>939</v>
      </c>
      <c r="M271" s="95"/>
      <c r="N271" s="95"/>
      <c r="O271" s="95"/>
      <c r="P271" s="95"/>
      <c r="Q271" s="95" t="s">
        <v>961</v>
      </c>
      <c r="R271" s="95"/>
      <c r="S271" s="95" t="s">
        <v>962</v>
      </c>
      <c r="T271" s="95"/>
      <c r="U271" s="95"/>
      <c r="V271" s="95"/>
      <c r="W271" s="95"/>
      <c r="X271" s="113" t="s">
        <v>43</v>
      </c>
      <c r="Y271" s="95" t="s">
        <v>42</v>
      </c>
      <c r="Z271" s="95"/>
      <c r="AA271" s="113" t="s">
        <v>43</v>
      </c>
      <c r="AB271" s="95" t="s">
        <v>42</v>
      </c>
      <c r="AC271" s="132"/>
      <c r="AD271" s="148">
        <v>2</v>
      </c>
    </row>
    <row r="272" spans="1:30" ht="60" hidden="1" customHeight="1" x14ac:dyDescent="0.3">
      <c r="A272" s="88">
        <v>271</v>
      </c>
      <c r="B272" s="121" t="s">
        <v>398</v>
      </c>
      <c r="C272" s="114" t="s">
        <v>963</v>
      </c>
      <c r="D272" s="116" t="s">
        <v>638</v>
      </c>
      <c r="E272" s="116" t="s">
        <v>964</v>
      </c>
      <c r="F272" s="95" t="s">
        <v>965</v>
      </c>
      <c r="G272" s="95" t="s">
        <v>966</v>
      </c>
      <c r="H272" s="88" t="s">
        <v>37</v>
      </c>
      <c r="I272" s="129" t="s">
        <v>967</v>
      </c>
      <c r="J272" s="88" t="s">
        <v>35</v>
      </c>
      <c r="K272" s="88" t="s">
        <v>38</v>
      </c>
      <c r="L272" s="117" t="s">
        <v>939</v>
      </c>
      <c r="M272" s="95"/>
      <c r="N272" s="95"/>
      <c r="O272" s="95"/>
      <c r="P272" s="95"/>
      <c r="Q272" s="95"/>
      <c r="R272" s="95"/>
      <c r="S272" s="95" t="s">
        <v>74</v>
      </c>
      <c r="T272" s="95"/>
      <c r="U272" s="95"/>
      <c r="V272" s="95"/>
      <c r="W272" s="95"/>
      <c r="X272" s="113" t="s">
        <v>91</v>
      </c>
      <c r="Y272" s="95" t="s">
        <v>43</v>
      </c>
      <c r="Z272" s="95"/>
      <c r="AA272" s="113" t="s">
        <v>91</v>
      </c>
      <c r="AB272" s="95" t="s">
        <v>43</v>
      </c>
      <c r="AC272" s="132"/>
      <c r="AD272" s="148">
        <v>2</v>
      </c>
    </row>
    <row r="273" spans="1:30" ht="60" hidden="1" customHeight="1" x14ac:dyDescent="0.3">
      <c r="A273" s="88">
        <v>272</v>
      </c>
      <c r="B273" s="121" t="s">
        <v>398</v>
      </c>
      <c r="C273" s="114"/>
      <c r="D273" s="116"/>
      <c r="E273" s="116" t="s">
        <v>968</v>
      </c>
      <c r="F273" s="95" t="s">
        <v>965</v>
      </c>
      <c r="G273" s="95" t="s">
        <v>966</v>
      </c>
      <c r="H273" s="88" t="s">
        <v>37</v>
      </c>
      <c r="I273" s="129" t="s">
        <v>967</v>
      </c>
      <c r="J273" s="88" t="s">
        <v>35</v>
      </c>
      <c r="K273" s="88" t="s">
        <v>38</v>
      </c>
      <c r="L273" s="117" t="s">
        <v>939</v>
      </c>
      <c r="M273" s="95"/>
      <c r="N273" s="95"/>
      <c r="O273" s="95"/>
      <c r="P273" s="95"/>
      <c r="Q273" s="95"/>
      <c r="R273" s="95"/>
      <c r="S273" s="95"/>
      <c r="T273" s="95"/>
      <c r="U273" s="95"/>
      <c r="V273" s="95"/>
      <c r="W273" s="95"/>
      <c r="X273" s="113" t="s">
        <v>91</v>
      </c>
      <c r="Y273" s="95" t="s">
        <v>43</v>
      </c>
      <c r="Z273" s="95"/>
      <c r="AA273" s="113" t="s">
        <v>91</v>
      </c>
      <c r="AB273" s="95" t="s">
        <v>43</v>
      </c>
      <c r="AC273" s="132"/>
      <c r="AD273" s="148">
        <v>2</v>
      </c>
    </row>
    <row r="274" spans="1:30" ht="60" hidden="1" customHeight="1" x14ac:dyDescent="0.3">
      <c r="A274" s="88">
        <v>273</v>
      </c>
      <c r="B274" s="121" t="s">
        <v>398</v>
      </c>
      <c r="C274" s="114"/>
      <c r="D274" s="116"/>
      <c r="E274" s="116" t="s">
        <v>453</v>
      </c>
      <c r="F274" s="95" t="s">
        <v>965</v>
      </c>
      <c r="G274" s="95" t="s">
        <v>966</v>
      </c>
      <c r="H274" s="88" t="s">
        <v>37</v>
      </c>
      <c r="I274" s="129" t="s">
        <v>967</v>
      </c>
      <c r="J274" s="88" t="s">
        <v>35</v>
      </c>
      <c r="K274" s="88" t="s">
        <v>38</v>
      </c>
      <c r="L274" s="117" t="s">
        <v>939</v>
      </c>
      <c r="M274" s="95"/>
      <c r="N274" s="95"/>
      <c r="O274" s="95"/>
      <c r="P274" s="95"/>
      <c r="Q274" s="95"/>
      <c r="R274" s="95"/>
      <c r="S274" s="95"/>
      <c r="T274" s="95"/>
      <c r="U274" s="95"/>
      <c r="V274" s="95"/>
      <c r="W274" s="95"/>
      <c r="X274" s="113" t="s">
        <v>91</v>
      </c>
      <c r="Y274" s="95" t="s">
        <v>79</v>
      </c>
      <c r="Z274" s="95"/>
      <c r="AA274" s="113" t="s">
        <v>91</v>
      </c>
      <c r="AB274" s="95" t="s">
        <v>79</v>
      </c>
      <c r="AC274" s="132"/>
      <c r="AD274" s="148">
        <v>2</v>
      </c>
    </row>
    <row r="275" spans="1:30" ht="135" hidden="1" customHeight="1" x14ac:dyDescent="0.3">
      <c r="A275" s="88">
        <v>274</v>
      </c>
      <c r="B275" s="121" t="s">
        <v>412</v>
      </c>
      <c r="C275" s="95" t="s">
        <v>969</v>
      </c>
      <c r="D275" s="116" t="s">
        <v>163</v>
      </c>
      <c r="E275" s="116"/>
      <c r="F275" s="95" t="s">
        <v>164</v>
      </c>
      <c r="G275" s="95" t="s">
        <v>34</v>
      </c>
      <c r="H275" s="88" t="s">
        <v>35</v>
      </c>
      <c r="I275" s="121" t="s">
        <v>213</v>
      </c>
      <c r="J275" s="88" t="s">
        <v>35</v>
      </c>
      <c r="K275" s="88" t="s">
        <v>145</v>
      </c>
      <c r="L275" s="117" t="s">
        <v>970</v>
      </c>
      <c r="M275" s="95" t="s">
        <v>54</v>
      </c>
      <c r="N275" s="95" t="s">
        <v>55</v>
      </c>
      <c r="O275" s="95" t="s">
        <v>971</v>
      </c>
      <c r="P275" s="95" t="s">
        <v>57</v>
      </c>
      <c r="Q275" s="95" t="s">
        <v>98</v>
      </c>
      <c r="R275" s="95" t="s">
        <v>59</v>
      </c>
      <c r="S275" s="95"/>
      <c r="T275" s="95" t="s">
        <v>61</v>
      </c>
      <c r="U275" s="95"/>
      <c r="V275" s="95" t="s">
        <v>62</v>
      </c>
      <c r="W275" s="95"/>
      <c r="X275" s="113" t="s">
        <v>43</v>
      </c>
      <c r="Y275" s="95" t="s">
        <v>79</v>
      </c>
      <c r="Z275" s="95"/>
      <c r="AA275" s="113" t="s">
        <v>43</v>
      </c>
      <c r="AB275" s="95" t="s">
        <v>79</v>
      </c>
      <c r="AC275" s="132"/>
      <c r="AD275" s="148">
        <v>2</v>
      </c>
    </row>
    <row r="276" spans="1:30" ht="120" hidden="1" customHeight="1" x14ac:dyDescent="0.3">
      <c r="A276" s="88">
        <v>275</v>
      </c>
      <c r="B276" s="121" t="s">
        <v>412</v>
      </c>
      <c r="C276" s="95" t="s">
        <v>972</v>
      </c>
      <c r="D276" s="116" t="s">
        <v>418</v>
      </c>
      <c r="E276" s="116"/>
      <c r="F276" s="95" t="s">
        <v>164</v>
      </c>
      <c r="G276" s="95" t="s">
        <v>34</v>
      </c>
      <c r="H276" s="88" t="s">
        <v>35</v>
      </c>
      <c r="I276" s="129" t="s">
        <v>213</v>
      </c>
      <c r="J276" s="88" t="s">
        <v>35</v>
      </c>
      <c r="K276" s="88" t="s">
        <v>145</v>
      </c>
      <c r="L276" s="117" t="s">
        <v>78</v>
      </c>
      <c r="M276" s="95"/>
      <c r="N276" s="95"/>
      <c r="O276" s="95"/>
      <c r="P276" s="95"/>
      <c r="Q276" s="95">
        <v>7</v>
      </c>
      <c r="R276" s="95"/>
      <c r="S276" s="95"/>
      <c r="T276" s="95"/>
      <c r="U276" s="95"/>
      <c r="V276" s="95"/>
      <c r="W276" s="95"/>
      <c r="X276" s="113" t="s">
        <v>91</v>
      </c>
      <c r="Y276" s="95" t="s">
        <v>91</v>
      </c>
      <c r="Z276" s="95"/>
      <c r="AA276" s="113" t="s">
        <v>91</v>
      </c>
      <c r="AB276" s="95" t="s">
        <v>91</v>
      </c>
      <c r="AC276" s="132"/>
      <c r="AD276" s="148">
        <v>2</v>
      </c>
    </row>
    <row r="277" spans="1:30" ht="285" hidden="1" customHeight="1" x14ac:dyDescent="0.3">
      <c r="A277" s="88">
        <v>276</v>
      </c>
      <c r="B277" s="121" t="s">
        <v>412</v>
      </c>
      <c r="C277" s="95" t="s">
        <v>973</v>
      </c>
      <c r="D277" s="116" t="s">
        <v>420</v>
      </c>
      <c r="E277" s="116"/>
      <c r="F277" s="95" t="s">
        <v>164</v>
      </c>
      <c r="G277" s="95" t="s">
        <v>974</v>
      </c>
      <c r="H277" s="88" t="s">
        <v>35</v>
      </c>
      <c r="I277" s="129" t="s">
        <v>213</v>
      </c>
      <c r="J277" s="88" t="s">
        <v>35</v>
      </c>
      <c r="K277" s="88" t="s">
        <v>145</v>
      </c>
      <c r="L277" s="117" t="s">
        <v>975</v>
      </c>
      <c r="M277" s="95" t="s">
        <v>150</v>
      </c>
      <c r="N277" s="95">
        <v>489</v>
      </c>
      <c r="O277" s="95"/>
      <c r="P277" s="95">
        <v>100</v>
      </c>
      <c r="Q277" s="95">
        <v>126</v>
      </c>
      <c r="R277" s="95">
        <v>100</v>
      </c>
      <c r="S277" s="95"/>
      <c r="T277" s="95">
        <v>100</v>
      </c>
      <c r="U277" s="95"/>
      <c r="V277" s="95">
        <v>100</v>
      </c>
      <c r="W277" s="95"/>
      <c r="X277" s="113" t="s">
        <v>43</v>
      </c>
      <c r="Y277" s="95" t="s">
        <v>42</v>
      </c>
      <c r="Z277" s="95"/>
      <c r="AA277" s="113" t="s">
        <v>43</v>
      </c>
      <c r="AB277" s="95" t="s">
        <v>42</v>
      </c>
      <c r="AC277" s="132"/>
      <c r="AD277" s="148">
        <v>2</v>
      </c>
    </row>
    <row r="278" spans="1:30" ht="120" hidden="1" customHeight="1" x14ac:dyDescent="0.3">
      <c r="A278" s="88">
        <v>277</v>
      </c>
      <c r="B278" s="121" t="s">
        <v>426</v>
      </c>
      <c r="C278" s="95" t="s">
        <v>976</v>
      </c>
      <c r="D278" s="116" t="s">
        <v>977</v>
      </c>
      <c r="E278" s="116"/>
      <c r="F278" s="95" t="s">
        <v>978</v>
      </c>
      <c r="G278" s="95" t="s">
        <v>979</v>
      </c>
      <c r="H278" s="88" t="s">
        <v>37</v>
      </c>
      <c r="I278" s="129" t="s">
        <v>967</v>
      </c>
      <c r="J278" s="88" t="s">
        <v>35</v>
      </c>
      <c r="K278" s="88" t="s">
        <v>145</v>
      </c>
      <c r="L278" s="117" t="s">
        <v>939</v>
      </c>
      <c r="M278" s="95"/>
      <c r="N278" s="95"/>
      <c r="O278" s="95"/>
      <c r="P278" s="95"/>
      <c r="Q278" s="95"/>
      <c r="R278" s="95"/>
      <c r="S278" s="95"/>
      <c r="T278" s="95"/>
      <c r="U278" s="95"/>
      <c r="V278" s="95"/>
      <c r="W278" s="95"/>
      <c r="X278" s="113" t="s">
        <v>79</v>
      </c>
      <c r="Y278" s="95" t="s">
        <v>185</v>
      </c>
      <c r="Z278" s="95"/>
      <c r="AA278" s="113" t="s">
        <v>79</v>
      </c>
      <c r="AB278" s="95" t="s">
        <v>185</v>
      </c>
      <c r="AC278" s="132"/>
      <c r="AD278" s="148">
        <v>2</v>
      </c>
    </row>
    <row r="279" spans="1:30" ht="75" hidden="1" customHeight="1" x14ac:dyDescent="0.3">
      <c r="A279" s="88">
        <v>278</v>
      </c>
      <c r="B279" s="121" t="s">
        <v>426</v>
      </c>
      <c r="C279" s="95" t="s">
        <v>980</v>
      </c>
      <c r="D279" s="116" t="s">
        <v>850</v>
      </c>
      <c r="E279" s="116"/>
      <c r="F279" s="95" t="s">
        <v>981</v>
      </c>
      <c r="G279" s="95" t="s">
        <v>982</v>
      </c>
      <c r="H279" s="88" t="s">
        <v>37</v>
      </c>
      <c r="I279" s="129" t="s">
        <v>967</v>
      </c>
      <c r="J279" s="88" t="s">
        <v>35</v>
      </c>
      <c r="K279" s="88" t="s">
        <v>38</v>
      </c>
      <c r="L279" s="117" t="s">
        <v>939</v>
      </c>
      <c r="M279" s="95"/>
      <c r="N279" s="95"/>
      <c r="O279" s="95"/>
      <c r="P279" s="95"/>
      <c r="Q279" s="95"/>
      <c r="R279" s="95"/>
      <c r="S279" s="95"/>
      <c r="T279" s="95"/>
      <c r="U279" s="95"/>
      <c r="V279" s="95"/>
      <c r="W279" s="95"/>
      <c r="X279" s="113" t="s">
        <v>91</v>
      </c>
      <c r="Y279" s="95" t="s">
        <v>91</v>
      </c>
      <c r="Z279" s="95"/>
      <c r="AA279" s="113" t="s">
        <v>91</v>
      </c>
      <c r="AB279" s="95" t="s">
        <v>91</v>
      </c>
      <c r="AC279" s="132"/>
      <c r="AD279" s="148">
        <v>2</v>
      </c>
    </row>
    <row r="280" spans="1:30" ht="270.75" customHeight="1" x14ac:dyDescent="0.3">
      <c r="A280" s="88">
        <v>279</v>
      </c>
      <c r="B280" s="121" t="s">
        <v>429</v>
      </c>
      <c r="C280" s="95">
        <v>2</v>
      </c>
      <c r="D280" s="116" t="s">
        <v>430</v>
      </c>
      <c r="E280" s="116"/>
      <c r="F280" s="114">
        <v>43506</v>
      </c>
      <c r="G280" s="95" t="s">
        <v>34</v>
      </c>
      <c r="H280" s="88" t="s">
        <v>35</v>
      </c>
      <c r="I280" s="129" t="s">
        <v>431</v>
      </c>
      <c r="J280" s="88" t="s">
        <v>35</v>
      </c>
      <c r="K280" s="88" t="s">
        <v>38</v>
      </c>
      <c r="L280" s="117" t="s">
        <v>983</v>
      </c>
      <c r="M280" s="95" t="s">
        <v>251</v>
      </c>
      <c r="N280" s="95" t="s">
        <v>984</v>
      </c>
      <c r="O280" s="95" t="s">
        <v>271</v>
      </c>
      <c r="P280" s="95"/>
      <c r="Q280" s="95"/>
      <c r="R280" s="95"/>
      <c r="S280" s="95"/>
      <c r="T280" s="95" t="s">
        <v>62</v>
      </c>
      <c r="U280" s="111"/>
      <c r="V280" s="95"/>
      <c r="W280" s="95"/>
      <c r="X280" s="113" t="s">
        <v>43</v>
      </c>
      <c r="Y280" s="95" t="s">
        <v>79</v>
      </c>
      <c r="Z280" s="95"/>
      <c r="AA280" s="113" t="s">
        <v>43</v>
      </c>
      <c r="AB280" s="95" t="s">
        <v>79</v>
      </c>
      <c r="AC280" s="132"/>
      <c r="AD280" s="148">
        <v>2</v>
      </c>
    </row>
    <row r="281" spans="1:30" ht="60" hidden="1" customHeight="1" x14ac:dyDescent="0.3">
      <c r="A281" s="88">
        <v>280</v>
      </c>
      <c r="B281" s="121" t="s">
        <v>442</v>
      </c>
      <c r="C281" s="95" t="s">
        <v>985</v>
      </c>
      <c r="D281" s="116" t="s">
        <v>125</v>
      </c>
      <c r="E281" s="116" t="s">
        <v>614</v>
      </c>
      <c r="F281" s="95" t="s">
        <v>447</v>
      </c>
      <c r="G281" s="95" t="s">
        <v>448</v>
      </c>
      <c r="H281" s="88" t="s">
        <v>37</v>
      </c>
      <c r="I281" s="129" t="s">
        <v>986</v>
      </c>
      <c r="J281" s="88" t="s">
        <v>37</v>
      </c>
      <c r="K281" s="88" t="s">
        <v>38</v>
      </c>
      <c r="L281" s="117"/>
      <c r="M281" s="111"/>
      <c r="N281" s="111"/>
      <c r="O281" s="111"/>
      <c r="P281" s="111"/>
      <c r="Q281" s="111"/>
      <c r="R281" s="111"/>
      <c r="S281" s="95"/>
      <c r="T281" s="111"/>
      <c r="U281" s="111"/>
      <c r="V281" s="111"/>
      <c r="W281" s="111"/>
      <c r="X281" s="113" t="s">
        <v>91</v>
      </c>
      <c r="Y281" s="95" t="s">
        <v>79</v>
      </c>
      <c r="Z281" s="95"/>
      <c r="AA281" s="113" t="s">
        <v>91</v>
      </c>
      <c r="AB281" s="95" t="s">
        <v>79</v>
      </c>
      <c r="AC281" s="132"/>
      <c r="AD281" s="148">
        <v>2</v>
      </c>
    </row>
    <row r="282" spans="1:30" ht="105.75" hidden="1" customHeight="1" x14ac:dyDescent="0.3">
      <c r="A282" s="88">
        <v>281</v>
      </c>
      <c r="B282" s="121" t="s">
        <v>456</v>
      </c>
      <c r="C282" s="95" t="s">
        <v>987</v>
      </c>
      <c r="D282" s="116" t="s">
        <v>470</v>
      </c>
      <c r="E282" s="116" t="s">
        <v>988</v>
      </c>
      <c r="F282" s="95" t="s">
        <v>458</v>
      </c>
      <c r="G282" s="95" t="s">
        <v>989</v>
      </c>
      <c r="H282" s="88" t="s">
        <v>37</v>
      </c>
      <c r="I282" s="129" t="s">
        <v>990</v>
      </c>
      <c r="J282" s="88" t="s">
        <v>37</v>
      </c>
      <c r="K282" s="88" t="s">
        <v>38</v>
      </c>
      <c r="L282" s="117" t="s">
        <v>424</v>
      </c>
      <c r="M282" s="95"/>
      <c r="N282" s="95"/>
      <c r="O282" s="95"/>
      <c r="P282" s="95"/>
      <c r="Q282" s="95"/>
      <c r="R282" s="95"/>
      <c r="S282" s="95"/>
      <c r="T282" s="111"/>
      <c r="U282" s="111"/>
      <c r="V282" s="111"/>
      <c r="W282" s="111"/>
      <c r="X282" s="113" t="s">
        <v>79</v>
      </c>
      <c r="Y282" s="95" t="s">
        <v>75</v>
      </c>
      <c r="Z282" s="95"/>
      <c r="AA282" s="113" t="s">
        <v>79</v>
      </c>
      <c r="AB282" s="95" t="s">
        <v>75</v>
      </c>
      <c r="AC282" s="132"/>
      <c r="AD282" s="148">
        <v>2</v>
      </c>
    </row>
    <row r="283" spans="1:30" ht="135" hidden="1" customHeight="1" x14ac:dyDescent="0.3">
      <c r="A283" s="88">
        <v>282</v>
      </c>
      <c r="B283" s="121" t="s">
        <v>456</v>
      </c>
      <c r="C283" s="95" t="s">
        <v>991</v>
      </c>
      <c r="D283" s="116" t="s">
        <v>992</v>
      </c>
      <c r="E283" s="116"/>
      <c r="F283" s="95" t="s">
        <v>458</v>
      </c>
      <c r="G283" s="95" t="s">
        <v>993</v>
      </c>
      <c r="H283" s="88" t="s">
        <v>37</v>
      </c>
      <c r="I283" s="95" t="s">
        <v>994</v>
      </c>
      <c r="J283" s="88" t="s">
        <v>37</v>
      </c>
      <c r="K283" s="88" t="s">
        <v>38</v>
      </c>
      <c r="L283" s="117" t="s">
        <v>648</v>
      </c>
      <c r="M283" s="95"/>
      <c r="N283" s="95"/>
      <c r="O283" s="95"/>
      <c r="P283" s="95"/>
      <c r="Q283" s="95"/>
      <c r="R283" s="95"/>
      <c r="S283" s="95" t="s">
        <v>74</v>
      </c>
      <c r="T283" s="111"/>
      <c r="U283" s="111"/>
      <c r="V283" s="111"/>
      <c r="W283" s="111"/>
      <c r="X283" s="113" t="s">
        <v>91</v>
      </c>
      <c r="Y283" s="95" t="s">
        <v>42</v>
      </c>
      <c r="Z283" s="95"/>
      <c r="AA283" s="113" t="s">
        <v>91</v>
      </c>
      <c r="AB283" s="95" t="s">
        <v>42</v>
      </c>
      <c r="AC283" s="132"/>
      <c r="AD283" s="148">
        <v>2</v>
      </c>
    </row>
    <row r="284" spans="1:30" ht="210" hidden="1" customHeight="1" x14ac:dyDescent="0.3">
      <c r="A284" s="88">
        <v>283</v>
      </c>
      <c r="B284" s="121" t="s">
        <v>509</v>
      </c>
      <c r="C284" s="95" t="s">
        <v>995</v>
      </c>
      <c r="D284" s="116" t="s">
        <v>996</v>
      </c>
      <c r="E284" s="116"/>
      <c r="F284" s="95" t="s">
        <v>33</v>
      </c>
      <c r="G284" s="95" t="s">
        <v>512</v>
      </c>
      <c r="H284" s="88" t="s">
        <v>37</v>
      </c>
      <c r="I284" s="129" t="s">
        <v>513</v>
      </c>
      <c r="J284" s="88" t="s">
        <v>35</v>
      </c>
      <c r="K284" s="88" t="s">
        <v>145</v>
      </c>
      <c r="L284" s="117" t="s">
        <v>514</v>
      </c>
      <c r="M284" s="95" t="s">
        <v>48</v>
      </c>
      <c r="N284" s="95" t="s">
        <v>997</v>
      </c>
      <c r="O284" s="95"/>
      <c r="P284" s="95">
        <v>7</v>
      </c>
      <c r="Q284" s="95"/>
      <c r="R284" s="95">
        <v>6</v>
      </c>
      <c r="S284" s="95"/>
      <c r="T284" s="95" t="s">
        <v>62</v>
      </c>
      <c r="U284" s="111"/>
      <c r="V284" s="111">
        <v>3</v>
      </c>
      <c r="W284" s="111"/>
      <c r="X284" s="113" t="s">
        <v>79</v>
      </c>
      <c r="Y284" s="111" t="s">
        <v>79</v>
      </c>
      <c r="Z284" s="111"/>
      <c r="AA284" s="113" t="s">
        <v>79</v>
      </c>
      <c r="AB284" s="111" t="s">
        <v>79</v>
      </c>
      <c r="AC284" s="119"/>
      <c r="AD284" s="149">
        <v>2</v>
      </c>
    </row>
    <row r="285" spans="1:30" ht="60.75" hidden="1" customHeight="1" x14ac:dyDescent="0.3">
      <c r="A285" s="88">
        <v>284</v>
      </c>
      <c r="B285" s="121" t="s">
        <v>516</v>
      </c>
      <c r="C285" s="122" t="s">
        <v>998</v>
      </c>
      <c r="D285" s="116" t="s">
        <v>517</v>
      </c>
      <c r="E285" s="116" t="s">
        <v>518</v>
      </c>
      <c r="F285" s="95" t="s">
        <v>519</v>
      </c>
      <c r="G285" s="95" t="s">
        <v>520</v>
      </c>
      <c r="H285" s="88" t="s">
        <v>35</v>
      </c>
      <c r="I285" s="129" t="s">
        <v>521</v>
      </c>
      <c r="J285" s="88" t="s">
        <v>37</v>
      </c>
      <c r="K285" s="88" t="s">
        <v>38</v>
      </c>
      <c r="L285" s="117" t="s">
        <v>78</v>
      </c>
      <c r="M285" s="95"/>
      <c r="N285" s="95"/>
      <c r="O285" s="95"/>
      <c r="P285" s="95"/>
      <c r="Q285" s="95">
        <v>50</v>
      </c>
      <c r="R285" s="95"/>
      <c r="S285" s="95"/>
      <c r="T285" s="95"/>
      <c r="U285" s="111"/>
      <c r="V285" s="111"/>
      <c r="W285" s="111"/>
      <c r="X285" s="113" t="s">
        <v>75</v>
      </c>
      <c r="Y285" s="111" t="s">
        <v>91</v>
      </c>
      <c r="Z285" s="111"/>
      <c r="AA285" s="113" t="s">
        <v>75</v>
      </c>
      <c r="AB285" s="111" t="s">
        <v>91</v>
      </c>
      <c r="AC285" s="119"/>
      <c r="AD285" s="149">
        <v>2</v>
      </c>
    </row>
    <row r="286" spans="1:30" ht="45" customHeight="1" x14ac:dyDescent="0.3">
      <c r="A286" s="88">
        <v>285</v>
      </c>
      <c r="B286" s="121" t="s">
        <v>523</v>
      </c>
      <c r="C286" s="95">
        <v>2</v>
      </c>
      <c r="D286" s="116" t="s">
        <v>570</v>
      </c>
      <c r="E286" s="116"/>
      <c r="F286" s="95" t="s">
        <v>999</v>
      </c>
      <c r="G286" s="95" t="s">
        <v>1000</v>
      </c>
      <c r="H286" s="88" t="s">
        <v>37</v>
      </c>
      <c r="I286" s="129" t="s">
        <v>1001</v>
      </c>
      <c r="J286" s="88" t="s">
        <v>37</v>
      </c>
      <c r="K286" s="88" t="s">
        <v>38</v>
      </c>
      <c r="L286" s="117" t="s">
        <v>424</v>
      </c>
      <c r="M286" s="95"/>
      <c r="N286" s="95"/>
      <c r="O286" s="95"/>
      <c r="P286" s="95"/>
      <c r="Q286" s="95"/>
      <c r="R286" s="95"/>
      <c r="S286" s="95"/>
      <c r="T286" s="95"/>
      <c r="U286" s="111"/>
      <c r="V286" s="111"/>
      <c r="W286" s="111"/>
      <c r="X286" s="113" t="s">
        <v>91</v>
      </c>
      <c r="Y286" s="111" t="s">
        <v>91</v>
      </c>
      <c r="Z286" s="111"/>
      <c r="AA286" s="113" t="s">
        <v>91</v>
      </c>
      <c r="AB286" s="111" t="s">
        <v>91</v>
      </c>
      <c r="AC286" s="119"/>
      <c r="AD286" s="149">
        <v>2</v>
      </c>
    </row>
    <row r="287" spans="1:30" ht="60" hidden="1" customHeight="1" x14ac:dyDescent="0.3">
      <c r="A287" s="88">
        <v>286</v>
      </c>
      <c r="B287" s="121" t="s">
        <v>544</v>
      </c>
      <c r="C287" s="134" t="s">
        <v>1002</v>
      </c>
      <c r="D287" s="116" t="s">
        <v>638</v>
      </c>
      <c r="E287" s="116" t="s">
        <v>1003</v>
      </c>
      <c r="F287" s="95" t="s">
        <v>164</v>
      </c>
      <c r="G287" s="95" t="s">
        <v>34</v>
      </c>
      <c r="H287" s="88" t="s">
        <v>35</v>
      </c>
      <c r="I287" s="129" t="s">
        <v>202</v>
      </c>
      <c r="J287" s="88" t="s">
        <v>37</v>
      </c>
      <c r="K287" s="88" t="s">
        <v>145</v>
      </c>
      <c r="L287" s="117" t="s">
        <v>939</v>
      </c>
      <c r="M287" s="95"/>
      <c r="N287" s="95"/>
      <c r="O287" s="95"/>
      <c r="P287" s="95"/>
      <c r="Q287" s="95"/>
      <c r="R287" s="95" t="s">
        <v>62</v>
      </c>
      <c r="S287" s="95" t="s">
        <v>1004</v>
      </c>
      <c r="T287" s="95" t="s">
        <v>62</v>
      </c>
      <c r="U287" s="95" t="s">
        <v>549</v>
      </c>
      <c r="V287" s="95"/>
      <c r="W287" s="95"/>
      <c r="X287" s="113" t="s">
        <v>91</v>
      </c>
      <c r="Y287" s="113" t="s">
        <v>43</v>
      </c>
      <c r="Z287" s="113"/>
      <c r="AA287" s="113" t="s">
        <v>91</v>
      </c>
      <c r="AB287" s="113" t="s">
        <v>43</v>
      </c>
      <c r="AC287" s="119"/>
      <c r="AD287" s="149">
        <v>2</v>
      </c>
    </row>
    <row r="288" spans="1:30" ht="90" hidden="1" customHeight="1" x14ac:dyDescent="0.3">
      <c r="A288" s="88">
        <v>287</v>
      </c>
      <c r="B288" s="121" t="s">
        <v>544</v>
      </c>
      <c r="C288" s="95" t="s">
        <v>1005</v>
      </c>
      <c r="D288" s="116" t="s">
        <v>815</v>
      </c>
      <c r="E288" s="116"/>
      <c r="F288" s="95" t="s">
        <v>1006</v>
      </c>
      <c r="G288" s="95" t="s">
        <v>1007</v>
      </c>
      <c r="H288" s="88" t="s">
        <v>37</v>
      </c>
      <c r="I288" s="129" t="s">
        <v>1008</v>
      </c>
      <c r="J288" s="88" t="s">
        <v>37</v>
      </c>
      <c r="K288" s="88" t="s">
        <v>38</v>
      </c>
      <c r="L288" s="117" t="s">
        <v>939</v>
      </c>
      <c r="M288" s="95"/>
      <c r="N288" s="95"/>
      <c r="O288" s="95"/>
      <c r="P288" s="95"/>
      <c r="Q288" s="95"/>
      <c r="R288" s="95"/>
      <c r="S288" s="95" t="s">
        <v>1009</v>
      </c>
      <c r="T288" s="95"/>
      <c r="U288" s="95"/>
      <c r="V288" s="95"/>
      <c r="W288" s="95"/>
      <c r="X288" s="113" t="s">
        <v>79</v>
      </c>
      <c r="Y288" s="113" t="s">
        <v>43</v>
      </c>
      <c r="Z288" s="113"/>
      <c r="AA288" s="113" t="s">
        <v>79</v>
      </c>
      <c r="AB288" s="113" t="s">
        <v>43</v>
      </c>
      <c r="AC288" s="119"/>
      <c r="AD288" s="149">
        <v>2</v>
      </c>
    </row>
    <row r="289" spans="1:30" ht="90" hidden="1" customHeight="1" x14ac:dyDescent="0.3">
      <c r="A289" s="88">
        <v>288</v>
      </c>
      <c r="B289" s="121" t="s">
        <v>544</v>
      </c>
      <c r="C289" s="134" t="s">
        <v>1010</v>
      </c>
      <c r="D289" s="116" t="s">
        <v>295</v>
      </c>
      <c r="E289" s="116"/>
      <c r="F289" s="95" t="s">
        <v>1006</v>
      </c>
      <c r="G289" s="95" t="s">
        <v>1011</v>
      </c>
      <c r="H289" s="88" t="s">
        <v>37</v>
      </c>
      <c r="I289" s="129" t="s">
        <v>1012</v>
      </c>
      <c r="J289" s="88" t="s">
        <v>37</v>
      </c>
      <c r="K289" s="88" t="s">
        <v>38</v>
      </c>
      <c r="L289" s="117" t="s">
        <v>939</v>
      </c>
      <c r="M289" s="95"/>
      <c r="N289" s="95"/>
      <c r="O289" s="95"/>
      <c r="P289" s="95"/>
      <c r="Q289" s="95"/>
      <c r="R289" s="95"/>
      <c r="S289" s="95" t="s">
        <v>98</v>
      </c>
      <c r="T289" s="95"/>
      <c r="U289" s="95"/>
      <c r="V289" s="95"/>
      <c r="W289" s="95"/>
      <c r="X289" s="113" t="s">
        <v>42</v>
      </c>
      <c r="Y289" s="113" t="s">
        <v>43</v>
      </c>
      <c r="Z289" s="113"/>
      <c r="AA289" s="113" t="s">
        <v>42</v>
      </c>
      <c r="AB289" s="113" t="s">
        <v>43</v>
      </c>
      <c r="AC289" s="119"/>
      <c r="AD289" s="149">
        <v>2</v>
      </c>
    </row>
    <row r="290" spans="1:30" ht="75" customHeight="1" x14ac:dyDescent="0.3">
      <c r="A290" s="88">
        <v>289</v>
      </c>
      <c r="B290" s="121" t="s">
        <v>681</v>
      </c>
      <c r="C290" s="95">
        <v>7</v>
      </c>
      <c r="D290" s="116" t="s">
        <v>1013</v>
      </c>
      <c r="E290" s="116"/>
      <c r="F290" s="95" t="s">
        <v>683</v>
      </c>
      <c r="G290" s="95" t="s">
        <v>34</v>
      </c>
      <c r="H290" s="88" t="s">
        <v>35</v>
      </c>
      <c r="I290" s="129" t="s">
        <v>1014</v>
      </c>
      <c r="J290" s="88" t="s">
        <v>35</v>
      </c>
      <c r="K290" s="88" t="s">
        <v>38</v>
      </c>
      <c r="L290" s="117" t="s">
        <v>939</v>
      </c>
      <c r="M290" s="111"/>
      <c r="N290" s="111"/>
      <c r="O290" s="111"/>
      <c r="P290" s="111"/>
      <c r="Q290" s="111"/>
      <c r="R290" s="111"/>
      <c r="S290" s="95" t="s">
        <v>882</v>
      </c>
      <c r="T290" s="111"/>
      <c r="U290" s="111"/>
      <c r="V290" s="111"/>
      <c r="W290" s="111"/>
      <c r="X290" s="113" t="s">
        <v>185</v>
      </c>
      <c r="Y290" s="113" t="s">
        <v>91</v>
      </c>
      <c r="Z290" s="113"/>
      <c r="AA290" s="113" t="s">
        <v>185</v>
      </c>
      <c r="AB290" s="113" t="s">
        <v>91</v>
      </c>
      <c r="AC290" s="119"/>
      <c r="AD290" s="149">
        <v>2</v>
      </c>
    </row>
    <row r="291" spans="1:30" ht="60" hidden="1" customHeight="1" x14ac:dyDescent="0.3">
      <c r="A291" s="88">
        <v>290</v>
      </c>
      <c r="B291" s="121" t="s">
        <v>685</v>
      </c>
      <c r="C291" s="95" t="s">
        <v>1015</v>
      </c>
      <c r="D291" s="116" t="s">
        <v>1016</v>
      </c>
      <c r="E291" s="116" t="s">
        <v>491</v>
      </c>
      <c r="F291" s="95" t="s">
        <v>525</v>
      </c>
      <c r="G291" s="95" t="s">
        <v>34</v>
      </c>
      <c r="H291" s="88" t="s">
        <v>35</v>
      </c>
      <c r="I291" s="129" t="s">
        <v>1017</v>
      </c>
      <c r="J291" s="88" t="s">
        <v>35</v>
      </c>
      <c r="K291" s="88" t="s">
        <v>38</v>
      </c>
      <c r="L291" s="117" t="s">
        <v>970</v>
      </c>
      <c r="M291" s="111"/>
      <c r="N291" s="111"/>
      <c r="O291" s="111"/>
      <c r="P291" s="111"/>
      <c r="Q291" s="111">
        <v>25</v>
      </c>
      <c r="R291" s="111"/>
      <c r="S291" s="95"/>
      <c r="T291" s="111"/>
      <c r="U291" s="111"/>
      <c r="V291" s="111"/>
      <c r="W291" s="111"/>
      <c r="X291" s="113" t="s">
        <v>185</v>
      </c>
      <c r="Y291" s="111" t="s">
        <v>91</v>
      </c>
      <c r="Z291" s="111"/>
      <c r="AA291" s="113" t="s">
        <v>185</v>
      </c>
      <c r="AB291" s="111" t="s">
        <v>91</v>
      </c>
      <c r="AC291" s="119"/>
      <c r="AD291" s="149">
        <v>2</v>
      </c>
    </row>
    <row r="292" spans="1:30" ht="60" hidden="1" customHeight="1" x14ac:dyDescent="0.3">
      <c r="A292" s="88">
        <v>291</v>
      </c>
      <c r="B292" s="121" t="s">
        <v>685</v>
      </c>
      <c r="C292" s="95" t="s">
        <v>729</v>
      </c>
      <c r="D292" s="116" t="s">
        <v>1018</v>
      </c>
      <c r="E292" s="116" t="s">
        <v>1019</v>
      </c>
      <c r="F292" s="95" t="s">
        <v>525</v>
      </c>
      <c r="G292" s="95" t="s">
        <v>34</v>
      </c>
      <c r="H292" s="88" t="s">
        <v>35</v>
      </c>
      <c r="I292" s="129" t="s">
        <v>1020</v>
      </c>
      <c r="J292" s="88" t="s">
        <v>35</v>
      </c>
      <c r="K292" s="88" t="s">
        <v>38</v>
      </c>
      <c r="L292" s="117" t="s">
        <v>939</v>
      </c>
      <c r="M292" s="111"/>
      <c r="N292" s="111"/>
      <c r="O292" s="111"/>
      <c r="P292" s="111"/>
      <c r="Q292" s="111"/>
      <c r="R292" s="111"/>
      <c r="S292" s="95" t="s">
        <v>74</v>
      </c>
      <c r="T292" s="111"/>
      <c r="U292" s="111"/>
      <c r="V292" s="111"/>
      <c r="W292" s="111"/>
      <c r="X292" s="113" t="s">
        <v>91</v>
      </c>
      <c r="Y292" s="113" t="s">
        <v>43</v>
      </c>
      <c r="Z292" s="113"/>
      <c r="AA292" s="113" t="s">
        <v>91</v>
      </c>
      <c r="AB292" s="113" t="s">
        <v>43</v>
      </c>
      <c r="AC292" s="119"/>
      <c r="AD292" s="149">
        <v>2</v>
      </c>
    </row>
    <row r="293" spans="1:30" ht="60" hidden="1" customHeight="1" x14ac:dyDescent="0.3">
      <c r="A293" s="88">
        <v>292</v>
      </c>
      <c r="B293" s="121" t="s">
        <v>685</v>
      </c>
      <c r="C293" s="95" t="s">
        <v>1021</v>
      </c>
      <c r="D293" s="116" t="s">
        <v>87</v>
      </c>
      <c r="E293" s="116" t="s">
        <v>1022</v>
      </c>
      <c r="F293" s="95" t="s">
        <v>525</v>
      </c>
      <c r="G293" s="95" t="s">
        <v>34</v>
      </c>
      <c r="H293" s="88" t="s">
        <v>35</v>
      </c>
      <c r="I293" s="129" t="s">
        <v>1020</v>
      </c>
      <c r="J293" s="88" t="s">
        <v>35</v>
      </c>
      <c r="K293" s="88" t="s">
        <v>38</v>
      </c>
      <c r="L293" s="117" t="s">
        <v>939</v>
      </c>
      <c r="M293" s="111"/>
      <c r="N293" s="111"/>
      <c r="O293" s="111"/>
      <c r="P293" s="111"/>
      <c r="Q293" s="111"/>
      <c r="R293" s="111"/>
      <c r="S293" s="95" t="s">
        <v>98</v>
      </c>
      <c r="T293" s="111"/>
      <c r="U293" s="111"/>
      <c r="V293" s="111"/>
      <c r="W293" s="111"/>
      <c r="X293" s="113" t="s">
        <v>79</v>
      </c>
      <c r="Y293" s="113" t="s">
        <v>43</v>
      </c>
      <c r="Z293" s="113"/>
      <c r="AA293" s="113" t="s">
        <v>79</v>
      </c>
      <c r="AB293" s="113" t="s">
        <v>43</v>
      </c>
      <c r="AC293" s="119"/>
      <c r="AD293" s="149">
        <v>2</v>
      </c>
    </row>
    <row r="294" spans="1:30" ht="60" hidden="1" customHeight="1" x14ac:dyDescent="0.3">
      <c r="A294" s="88">
        <v>293</v>
      </c>
      <c r="B294" s="121" t="s">
        <v>685</v>
      </c>
      <c r="C294" s="95" t="s">
        <v>1023</v>
      </c>
      <c r="D294" s="116" t="s">
        <v>1024</v>
      </c>
      <c r="E294" s="116" t="s">
        <v>1025</v>
      </c>
      <c r="F294" s="95" t="s">
        <v>525</v>
      </c>
      <c r="G294" s="95" t="s">
        <v>34</v>
      </c>
      <c r="H294" s="88" t="s">
        <v>35</v>
      </c>
      <c r="I294" s="129" t="s">
        <v>1020</v>
      </c>
      <c r="J294" s="88" t="s">
        <v>35</v>
      </c>
      <c r="K294" s="88" t="s">
        <v>38</v>
      </c>
      <c r="L294" s="117" t="s">
        <v>939</v>
      </c>
      <c r="M294" s="111"/>
      <c r="N294" s="111"/>
      <c r="O294" s="111"/>
      <c r="P294" s="111"/>
      <c r="Q294" s="111"/>
      <c r="R294" s="111"/>
      <c r="S294" s="95" t="s">
        <v>1026</v>
      </c>
      <c r="T294" s="111"/>
      <c r="U294" s="111"/>
      <c r="V294" s="111"/>
      <c r="W294" s="111"/>
      <c r="X294" s="113" t="s">
        <v>79</v>
      </c>
      <c r="Y294" s="113" t="s">
        <v>42</v>
      </c>
      <c r="Z294" s="113"/>
      <c r="AA294" s="113" t="s">
        <v>79</v>
      </c>
      <c r="AB294" s="113" t="s">
        <v>42</v>
      </c>
      <c r="AC294" s="119"/>
      <c r="AD294" s="149">
        <v>2</v>
      </c>
    </row>
    <row r="295" spans="1:30" ht="60" hidden="1" customHeight="1" x14ac:dyDescent="0.3">
      <c r="A295" s="88">
        <v>294</v>
      </c>
      <c r="B295" s="121" t="s">
        <v>685</v>
      </c>
      <c r="C295" s="95" t="s">
        <v>1027</v>
      </c>
      <c r="D295" s="116" t="s">
        <v>1028</v>
      </c>
      <c r="E295" s="116" t="s">
        <v>1029</v>
      </c>
      <c r="F295" s="95" t="s">
        <v>525</v>
      </c>
      <c r="G295" s="95" t="s">
        <v>34</v>
      </c>
      <c r="H295" s="88" t="s">
        <v>35</v>
      </c>
      <c r="I295" s="129" t="s">
        <v>1020</v>
      </c>
      <c r="J295" s="88" t="s">
        <v>37</v>
      </c>
      <c r="K295" s="88" t="s">
        <v>38</v>
      </c>
      <c r="L295" s="117" t="s">
        <v>939</v>
      </c>
      <c r="M295" s="111"/>
      <c r="N295" s="111"/>
      <c r="O295" s="111"/>
      <c r="P295" s="111"/>
      <c r="Q295" s="111"/>
      <c r="R295" s="111"/>
      <c r="S295" s="95" t="s">
        <v>645</v>
      </c>
      <c r="T295" s="111"/>
      <c r="U295" s="111"/>
      <c r="V295" s="111"/>
      <c r="W295" s="111"/>
      <c r="X295" s="113" t="s">
        <v>79</v>
      </c>
      <c r="Y295" s="113" t="s">
        <v>75</v>
      </c>
      <c r="Z295" s="113"/>
      <c r="AA295" s="113" t="s">
        <v>79</v>
      </c>
      <c r="AB295" s="113" t="s">
        <v>75</v>
      </c>
      <c r="AC295" s="119"/>
      <c r="AD295" s="149">
        <v>2</v>
      </c>
    </row>
    <row r="296" spans="1:30" ht="60" hidden="1" customHeight="1" x14ac:dyDescent="0.3">
      <c r="A296" s="88">
        <v>295</v>
      </c>
      <c r="B296" s="121" t="s">
        <v>685</v>
      </c>
      <c r="C296" s="95" t="s">
        <v>1030</v>
      </c>
      <c r="D296" s="116" t="s">
        <v>1028</v>
      </c>
      <c r="E296" s="116" t="s">
        <v>744</v>
      </c>
      <c r="F296" s="95" t="s">
        <v>525</v>
      </c>
      <c r="G296" s="95" t="s">
        <v>34</v>
      </c>
      <c r="H296" s="88" t="s">
        <v>35</v>
      </c>
      <c r="I296" s="129" t="s">
        <v>1020</v>
      </c>
      <c r="J296" s="88" t="s">
        <v>35</v>
      </c>
      <c r="K296" s="88" t="s">
        <v>38</v>
      </c>
      <c r="L296" s="117" t="s">
        <v>939</v>
      </c>
      <c r="M296" s="111"/>
      <c r="N296" s="111"/>
      <c r="O296" s="111"/>
      <c r="P296" s="111"/>
      <c r="Q296" s="111"/>
      <c r="R296" s="111"/>
      <c r="S296" s="95" t="s">
        <v>98</v>
      </c>
      <c r="T296" s="111"/>
      <c r="U296" s="111"/>
      <c r="V296" s="111"/>
      <c r="W296" s="111"/>
      <c r="X296" s="113" t="s">
        <v>79</v>
      </c>
      <c r="Y296" s="113" t="s">
        <v>43</v>
      </c>
      <c r="Z296" s="113"/>
      <c r="AA296" s="113" t="s">
        <v>79</v>
      </c>
      <c r="AB296" s="113" t="s">
        <v>43</v>
      </c>
      <c r="AC296" s="119"/>
      <c r="AD296" s="149">
        <v>2</v>
      </c>
    </row>
    <row r="297" spans="1:30" ht="60" hidden="1" customHeight="1" x14ac:dyDescent="0.3">
      <c r="A297" s="88">
        <v>296</v>
      </c>
      <c r="B297" s="121" t="s">
        <v>685</v>
      </c>
      <c r="C297" s="95"/>
      <c r="D297" s="116"/>
      <c r="E297" s="116" t="s">
        <v>1031</v>
      </c>
      <c r="F297" s="95" t="s">
        <v>525</v>
      </c>
      <c r="G297" s="95" t="s">
        <v>34</v>
      </c>
      <c r="H297" s="88" t="s">
        <v>35</v>
      </c>
      <c r="I297" s="129" t="s">
        <v>1020</v>
      </c>
      <c r="J297" s="88" t="s">
        <v>35</v>
      </c>
      <c r="K297" s="88" t="s">
        <v>38</v>
      </c>
      <c r="L297" s="117" t="s">
        <v>939</v>
      </c>
      <c r="M297" s="111"/>
      <c r="N297" s="111"/>
      <c r="O297" s="111"/>
      <c r="P297" s="111"/>
      <c r="Q297" s="111"/>
      <c r="R297" s="111"/>
      <c r="S297" s="95" t="s">
        <v>1032</v>
      </c>
      <c r="T297" s="111"/>
      <c r="U297" s="111"/>
      <c r="V297" s="111"/>
      <c r="W297" s="111"/>
      <c r="X297" s="113" t="s">
        <v>43</v>
      </c>
      <c r="Y297" s="113" t="s">
        <v>43</v>
      </c>
      <c r="Z297" s="113"/>
      <c r="AA297" s="113" t="s">
        <v>43</v>
      </c>
      <c r="AB297" s="113" t="s">
        <v>43</v>
      </c>
      <c r="AC297" s="119"/>
      <c r="AD297" s="149">
        <v>2</v>
      </c>
    </row>
    <row r="298" spans="1:30" ht="75" hidden="1" customHeight="1" x14ac:dyDescent="0.3">
      <c r="A298" s="88">
        <v>297</v>
      </c>
      <c r="B298" s="121" t="s">
        <v>685</v>
      </c>
      <c r="C298" s="95" t="s">
        <v>1033</v>
      </c>
      <c r="D298" s="116" t="s">
        <v>1034</v>
      </c>
      <c r="E298" s="116" t="s">
        <v>1035</v>
      </c>
      <c r="F298" s="95" t="s">
        <v>525</v>
      </c>
      <c r="G298" s="95" t="s">
        <v>34</v>
      </c>
      <c r="H298" s="88" t="s">
        <v>35</v>
      </c>
      <c r="I298" s="129" t="s">
        <v>1020</v>
      </c>
      <c r="J298" s="88" t="s">
        <v>37</v>
      </c>
      <c r="K298" s="88" t="s">
        <v>38</v>
      </c>
      <c r="L298" s="117" t="s">
        <v>939</v>
      </c>
      <c r="M298" s="111"/>
      <c r="N298" s="111"/>
      <c r="O298" s="111"/>
      <c r="P298" s="111"/>
      <c r="Q298" s="111"/>
      <c r="R298" s="111"/>
      <c r="S298" s="95" t="s">
        <v>118</v>
      </c>
      <c r="T298" s="111"/>
      <c r="U298" s="111"/>
      <c r="V298" s="111"/>
      <c r="W298" s="111"/>
      <c r="X298" s="113" t="s">
        <v>79</v>
      </c>
      <c r="Y298" s="113" t="s">
        <v>75</v>
      </c>
      <c r="Z298" s="113"/>
      <c r="AA298" s="113" t="s">
        <v>79</v>
      </c>
      <c r="AB298" s="113" t="s">
        <v>75</v>
      </c>
      <c r="AC298" s="119"/>
      <c r="AD298" s="149">
        <v>2</v>
      </c>
    </row>
    <row r="299" spans="1:30" ht="60" hidden="1" customHeight="1" x14ac:dyDescent="0.3">
      <c r="A299" s="88">
        <v>298</v>
      </c>
      <c r="B299" s="121" t="s">
        <v>685</v>
      </c>
      <c r="C299" s="95" t="s">
        <v>1036</v>
      </c>
      <c r="D299" s="116" t="s">
        <v>407</v>
      </c>
      <c r="E299" s="116" t="s">
        <v>1037</v>
      </c>
      <c r="F299" s="95" t="s">
        <v>525</v>
      </c>
      <c r="G299" s="95" t="s">
        <v>34</v>
      </c>
      <c r="H299" s="88" t="s">
        <v>35</v>
      </c>
      <c r="I299" s="129" t="s">
        <v>1020</v>
      </c>
      <c r="J299" s="88" t="s">
        <v>35</v>
      </c>
      <c r="K299" s="88" t="s">
        <v>145</v>
      </c>
      <c r="L299" s="117" t="s">
        <v>939</v>
      </c>
      <c r="M299" s="111"/>
      <c r="N299" s="111"/>
      <c r="O299" s="111"/>
      <c r="P299" s="111"/>
      <c r="Q299" s="111"/>
      <c r="R299" s="111"/>
      <c r="S299" s="95" t="s">
        <v>1038</v>
      </c>
      <c r="T299" s="111"/>
      <c r="U299" s="111"/>
      <c r="V299" s="111"/>
      <c r="W299" s="111"/>
      <c r="X299" s="113" t="s">
        <v>79</v>
      </c>
      <c r="Y299" s="113" t="s">
        <v>43</v>
      </c>
      <c r="Z299" s="113"/>
      <c r="AA299" s="113" t="s">
        <v>79</v>
      </c>
      <c r="AB299" s="113" t="s">
        <v>43</v>
      </c>
      <c r="AC299" s="119"/>
      <c r="AD299" s="149">
        <v>2</v>
      </c>
    </row>
    <row r="300" spans="1:30" ht="60" hidden="1" customHeight="1" x14ac:dyDescent="0.3">
      <c r="A300" s="88">
        <v>299</v>
      </c>
      <c r="B300" s="121" t="s">
        <v>685</v>
      </c>
      <c r="C300" s="95" t="s">
        <v>1039</v>
      </c>
      <c r="D300" s="116" t="s">
        <v>1040</v>
      </c>
      <c r="E300" s="116" t="s">
        <v>1041</v>
      </c>
      <c r="F300" s="95" t="s">
        <v>525</v>
      </c>
      <c r="G300" s="95" t="s">
        <v>34</v>
      </c>
      <c r="H300" s="88" t="s">
        <v>35</v>
      </c>
      <c r="I300" s="129" t="s">
        <v>1020</v>
      </c>
      <c r="J300" s="88" t="s">
        <v>35</v>
      </c>
      <c r="K300" s="88" t="s">
        <v>38</v>
      </c>
      <c r="L300" s="117" t="s">
        <v>939</v>
      </c>
      <c r="M300" s="111"/>
      <c r="N300" s="111"/>
      <c r="O300" s="111"/>
      <c r="P300" s="111"/>
      <c r="Q300" s="111"/>
      <c r="R300" s="111"/>
      <c r="S300" s="95" t="s">
        <v>1042</v>
      </c>
      <c r="T300" s="111"/>
      <c r="U300" s="111"/>
      <c r="V300" s="111"/>
      <c r="W300" s="111"/>
      <c r="X300" s="113" t="s">
        <v>91</v>
      </c>
      <c r="Y300" s="113" t="s">
        <v>43</v>
      </c>
      <c r="Z300" s="113"/>
      <c r="AA300" s="113" t="s">
        <v>91</v>
      </c>
      <c r="AB300" s="113" t="s">
        <v>43</v>
      </c>
      <c r="AC300" s="119"/>
      <c r="AD300" s="149">
        <v>2</v>
      </c>
    </row>
    <row r="301" spans="1:30" ht="60" hidden="1" customHeight="1" x14ac:dyDescent="0.3">
      <c r="A301" s="88">
        <v>300</v>
      </c>
      <c r="B301" s="121" t="s">
        <v>685</v>
      </c>
      <c r="C301" s="95" t="s">
        <v>1043</v>
      </c>
      <c r="D301" s="116" t="s">
        <v>1044</v>
      </c>
      <c r="E301" s="116" t="s">
        <v>1045</v>
      </c>
      <c r="F301" s="95" t="s">
        <v>525</v>
      </c>
      <c r="G301" s="95" t="s">
        <v>34</v>
      </c>
      <c r="H301" s="88" t="s">
        <v>37</v>
      </c>
      <c r="I301" s="129" t="s">
        <v>1020</v>
      </c>
      <c r="J301" s="88" t="s">
        <v>35</v>
      </c>
      <c r="K301" s="88" t="s">
        <v>38</v>
      </c>
      <c r="L301" s="117" t="s">
        <v>939</v>
      </c>
      <c r="M301" s="111"/>
      <c r="N301" s="111"/>
      <c r="O301" s="111"/>
      <c r="P301" s="111"/>
      <c r="Q301" s="111"/>
      <c r="R301" s="111"/>
      <c r="S301" s="95" t="s">
        <v>1046</v>
      </c>
      <c r="T301" s="111"/>
      <c r="U301" s="111"/>
      <c r="V301" s="111"/>
      <c r="W301" s="111"/>
      <c r="X301" s="113" t="s">
        <v>79</v>
      </c>
      <c r="Y301" s="113" t="s">
        <v>43</v>
      </c>
      <c r="Z301" s="113"/>
      <c r="AA301" s="113" t="s">
        <v>79</v>
      </c>
      <c r="AB301" s="113" t="s">
        <v>43</v>
      </c>
      <c r="AC301" s="119"/>
      <c r="AD301" s="149">
        <v>2</v>
      </c>
    </row>
    <row r="302" spans="1:30" ht="180" hidden="1" customHeight="1" x14ac:dyDescent="0.3">
      <c r="A302" s="88">
        <v>301</v>
      </c>
      <c r="B302" s="121" t="s">
        <v>685</v>
      </c>
      <c r="C302" s="95" t="s">
        <v>1047</v>
      </c>
      <c r="D302" s="116" t="s">
        <v>1048</v>
      </c>
      <c r="E302" s="116" t="s">
        <v>1049</v>
      </c>
      <c r="F302" s="95" t="s">
        <v>525</v>
      </c>
      <c r="G302" s="95" t="s">
        <v>34</v>
      </c>
      <c r="H302" s="88" t="s">
        <v>35</v>
      </c>
      <c r="I302" s="129" t="s">
        <v>1050</v>
      </c>
      <c r="J302" s="88" t="s">
        <v>35</v>
      </c>
      <c r="K302" s="88" t="s">
        <v>38</v>
      </c>
      <c r="L302" s="117" t="s">
        <v>939</v>
      </c>
      <c r="M302" s="111"/>
      <c r="N302" s="111"/>
      <c r="O302" s="111"/>
      <c r="P302" s="111"/>
      <c r="Q302" s="111"/>
      <c r="R302" s="111"/>
      <c r="S302" s="95" t="s">
        <v>801</v>
      </c>
      <c r="T302" s="111"/>
      <c r="U302" s="111"/>
      <c r="V302" s="111"/>
      <c r="W302" s="111"/>
      <c r="X302" s="113" t="s">
        <v>91</v>
      </c>
      <c r="Y302" s="113" t="s">
        <v>43</v>
      </c>
      <c r="Z302" s="113"/>
      <c r="AA302" s="113" t="s">
        <v>91</v>
      </c>
      <c r="AB302" s="113" t="s">
        <v>43</v>
      </c>
      <c r="AC302" s="119"/>
      <c r="AD302" s="149">
        <v>2</v>
      </c>
    </row>
    <row r="303" spans="1:30" ht="60" hidden="1" customHeight="1" x14ac:dyDescent="0.3">
      <c r="A303" s="88">
        <v>302</v>
      </c>
      <c r="B303" s="121" t="s">
        <v>685</v>
      </c>
      <c r="C303" s="95" t="s">
        <v>228</v>
      </c>
      <c r="D303" s="116" t="s">
        <v>1051</v>
      </c>
      <c r="E303" s="116" t="s">
        <v>1052</v>
      </c>
      <c r="F303" s="95" t="s">
        <v>525</v>
      </c>
      <c r="G303" s="95" t="s">
        <v>34</v>
      </c>
      <c r="H303" s="88" t="s">
        <v>35</v>
      </c>
      <c r="I303" s="129" t="s">
        <v>1050</v>
      </c>
      <c r="J303" s="88" t="s">
        <v>35</v>
      </c>
      <c r="K303" s="88" t="s">
        <v>38</v>
      </c>
      <c r="L303" s="117" t="s">
        <v>953</v>
      </c>
      <c r="M303" s="111"/>
      <c r="N303" s="111"/>
      <c r="O303" s="111"/>
      <c r="P303" s="111"/>
      <c r="Q303" s="111"/>
      <c r="R303" s="111"/>
      <c r="S303" s="111"/>
      <c r="T303" s="111"/>
      <c r="U303" s="111"/>
      <c r="V303" s="111"/>
      <c r="W303" s="111"/>
      <c r="X303" s="113" t="s">
        <v>91</v>
      </c>
      <c r="Y303" s="113" t="s">
        <v>79</v>
      </c>
      <c r="Z303" s="113"/>
      <c r="AA303" s="113" t="s">
        <v>91</v>
      </c>
      <c r="AB303" s="113" t="s">
        <v>79</v>
      </c>
      <c r="AC303" s="119"/>
      <c r="AD303" s="149">
        <v>2</v>
      </c>
    </row>
    <row r="304" spans="1:30" ht="60" hidden="1" customHeight="1" x14ac:dyDescent="0.3">
      <c r="A304" s="88">
        <v>303</v>
      </c>
      <c r="B304" s="121" t="s">
        <v>685</v>
      </c>
      <c r="C304" s="95"/>
      <c r="D304" s="116"/>
      <c r="E304" s="116" t="s">
        <v>410</v>
      </c>
      <c r="F304" s="95" t="s">
        <v>525</v>
      </c>
      <c r="G304" s="95" t="s">
        <v>34</v>
      </c>
      <c r="H304" s="88" t="s">
        <v>35</v>
      </c>
      <c r="I304" s="129" t="s">
        <v>1050</v>
      </c>
      <c r="J304" s="88" t="s">
        <v>35</v>
      </c>
      <c r="K304" s="88" t="s">
        <v>38</v>
      </c>
      <c r="L304" s="117" t="s">
        <v>953</v>
      </c>
      <c r="M304" s="111"/>
      <c r="N304" s="111"/>
      <c r="O304" s="111"/>
      <c r="P304" s="111"/>
      <c r="Q304" s="111"/>
      <c r="R304" s="111"/>
      <c r="S304" s="111"/>
      <c r="T304" s="111"/>
      <c r="U304" s="111"/>
      <c r="V304" s="111"/>
      <c r="W304" s="111"/>
      <c r="X304" s="113" t="s">
        <v>79</v>
      </c>
      <c r="Y304" s="113" t="s">
        <v>91</v>
      </c>
      <c r="Z304" s="113"/>
      <c r="AA304" s="113" t="s">
        <v>79</v>
      </c>
      <c r="AB304" s="113" t="s">
        <v>91</v>
      </c>
      <c r="AC304" s="119"/>
      <c r="AD304" s="149">
        <v>2</v>
      </c>
    </row>
    <row r="305" spans="1:30" ht="60" hidden="1" customHeight="1" x14ac:dyDescent="0.3">
      <c r="A305" s="88">
        <v>304</v>
      </c>
      <c r="B305" s="121" t="s">
        <v>685</v>
      </c>
      <c r="C305" s="95" t="s">
        <v>969</v>
      </c>
      <c r="D305" s="116" t="s">
        <v>1031</v>
      </c>
      <c r="E305" s="116" t="s">
        <v>1053</v>
      </c>
      <c r="F305" s="95" t="s">
        <v>525</v>
      </c>
      <c r="G305" s="95" t="s">
        <v>34</v>
      </c>
      <c r="H305" s="88" t="s">
        <v>37</v>
      </c>
      <c r="I305" s="129" t="s">
        <v>1020</v>
      </c>
      <c r="J305" s="88" t="s">
        <v>35</v>
      </c>
      <c r="K305" s="88" t="s">
        <v>38</v>
      </c>
      <c r="L305" s="117" t="s">
        <v>939</v>
      </c>
      <c r="M305" s="111"/>
      <c r="N305" s="111"/>
      <c r="O305" s="111"/>
      <c r="P305" s="111"/>
      <c r="Q305" s="111"/>
      <c r="R305" s="111"/>
      <c r="S305" s="95" t="s">
        <v>1054</v>
      </c>
      <c r="T305" s="111"/>
      <c r="U305" s="111"/>
      <c r="V305" s="111"/>
      <c r="W305" s="111"/>
      <c r="X305" s="113" t="s">
        <v>91</v>
      </c>
      <c r="Y305" s="113" t="s">
        <v>43</v>
      </c>
      <c r="Z305" s="113"/>
      <c r="AA305" s="113" t="s">
        <v>91</v>
      </c>
      <c r="AB305" s="113" t="s">
        <v>43</v>
      </c>
      <c r="AC305" s="119"/>
      <c r="AD305" s="149">
        <v>2</v>
      </c>
    </row>
    <row r="306" spans="1:30" ht="60" hidden="1" customHeight="1" x14ac:dyDescent="0.3">
      <c r="A306" s="88">
        <v>305</v>
      </c>
      <c r="B306" s="121" t="s">
        <v>685</v>
      </c>
      <c r="C306" s="95"/>
      <c r="D306" s="116"/>
      <c r="E306" s="116" t="s">
        <v>1055</v>
      </c>
      <c r="F306" s="95" t="s">
        <v>525</v>
      </c>
      <c r="G306" s="95" t="s">
        <v>34</v>
      </c>
      <c r="H306" s="88" t="s">
        <v>35</v>
      </c>
      <c r="I306" s="129" t="s">
        <v>1020</v>
      </c>
      <c r="J306" s="88" t="s">
        <v>35</v>
      </c>
      <c r="K306" s="88" t="s">
        <v>38</v>
      </c>
      <c r="L306" s="117" t="s">
        <v>939</v>
      </c>
      <c r="M306" s="111"/>
      <c r="N306" s="111"/>
      <c r="O306" s="111"/>
      <c r="P306" s="111"/>
      <c r="Q306" s="111"/>
      <c r="R306" s="111"/>
      <c r="S306" s="95" t="s">
        <v>74</v>
      </c>
      <c r="T306" s="111"/>
      <c r="U306" s="111"/>
      <c r="V306" s="111"/>
      <c r="W306" s="111"/>
      <c r="X306" s="113" t="s">
        <v>42</v>
      </c>
      <c r="Y306" s="113" t="s">
        <v>43</v>
      </c>
      <c r="Z306" s="113"/>
      <c r="AA306" s="113" t="s">
        <v>42</v>
      </c>
      <c r="AB306" s="113" t="s">
        <v>43</v>
      </c>
      <c r="AC306" s="119"/>
      <c r="AD306" s="149">
        <v>2</v>
      </c>
    </row>
    <row r="307" spans="1:30" ht="60" hidden="1" customHeight="1" x14ac:dyDescent="0.3">
      <c r="A307" s="88">
        <v>306</v>
      </c>
      <c r="B307" s="121" t="s">
        <v>685</v>
      </c>
      <c r="C307" s="95" t="s">
        <v>1056</v>
      </c>
      <c r="D307" s="116" t="s">
        <v>654</v>
      </c>
      <c r="E307" s="116" t="s">
        <v>1057</v>
      </c>
      <c r="F307" s="95" t="s">
        <v>525</v>
      </c>
      <c r="G307" s="95" t="s">
        <v>34</v>
      </c>
      <c r="H307" s="88" t="s">
        <v>35</v>
      </c>
      <c r="I307" s="129" t="s">
        <v>1020</v>
      </c>
      <c r="J307" s="88" t="s">
        <v>35</v>
      </c>
      <c r="K307" s="88" t="s">
        <v>38</v>
      </c>
      <c r="L307" s="117" t="s">
        <v>939</v>
      </c>
      <c r="M307" s="111"/>
      <c r="N307" s="111"/>
      <c r="O307" s="111"/>
      <c r="P307" s="111"/>
      <c r="Q307" s="111"/>
      <c r="R307" s="111"/>
      <c r="S307" s="95" t="s">
        <v>1058</v>
      </c>
      <c r="T307" s="111"/>
      <c r="U307" s="111"/>
      <c r="V307" s="111"/>
      <c r="W307" s="111"/>
      <c r="X307" s="113" t="s">
        <v>79</v>
      </c>
      <c r="Y307" s="113" t="s">
        <v>42</v>
      </c>
      <c r="Z307" s="113"/>
      <c r="AA307" s="113" t="s">
        <v>79</v>
      </c>
      <c r="AB307" s="113" t="s">
        <v>42</v>
      </c>
      <c r="AC307" s="119"/>
      <c r="AD307" s="149">
        <v>2</v>
      </c>
    </row>
    <row r="308" spans="1:30" ht="60" hidden="1" customHeight="1" x14ac:dyDescent="0.3">
      <c r="A308" s="88">
        <v>307</v>
      </c>
      <c r="B308" s="121" t="s">
        <v>685</v>
      </c>
      <c r="C308" s="95"/>
      <c r="D308" s="116"/>
      <c r="E308" s="116" t="s">
        <v>1059</v>
      </c>
      <c r="F308" s="95" t="s">
        <v>525</v>
      </c>
      <c r="G308" s="95" t="s">
        <v>34</v>
      </c>
      <c r="H308" s="88" t="s">
        <v>35</v>
      </c>
      <c r="I308" s="129" t="s">
        <v>1020</v>
      </c>
      <c r="J308" s="88" t="s">
        <v>35</v>
      </c>
      <c r="K308" s="88" t="s">
        <v>38</v>
      </c>
      <c r="L308" s="117" t="s">
        <v>939</v>
      </c>
      <c r="M308" s="111"/>
      <c r="N308" s="111"/>
      <c r="O308" s="111"/>
      <c r="P308" s="111"/>
      <c r="Q308" s="111"/>
      <c r="R308" s="111"/>
      <c r="S308" s="95" t="s">
        <v>1060</v>
      </c>
      <c r="T308" s="111"/>
      <c r="U308" s="111"/>
      <c r="V308" s="111"/>
      <c r="W308" s="111"/>
      <c r="X308" s="113" t="s">
        <v>79</v>
      </c>
      <c r="Y308" s="113" t="s">
        <v>43</v>
      </c>
      <c r="Z308" s="113"/>
      <c r="AA308" s="113" t="s">
        <v>79</v>
      </c>
      <c r="AB308" s="113" t="s">
        <v>43</v>
      </c>
      <c r="AC308" s="119"/>
      <c r="AD308" s="149">
        <v>2</v>
      </c>
    </row>
    <row r="309" spans="1:30" ht="60" hidden="1" customHeight="1" x14ac:dyDescent="0.3">
      <c r="A309" s="88">
        <v>308</v>
      </c>
      <c r="B309" s="121" t="s">
        <v>685</v>
      </c>
      <c r="C309" s="95"/>
      <c r="D309" s="116"/>
      <c r="E309" s="116" t="s">
        <v>1061</v>
      </c>
      <c r="F309" s="95" t="s">
        <v>525</v>
      </c>
      <c r="G309" s="95" t="s">
        <v>34</v>
      </c>
      <c r="H309" s="88" t="s">
        <v>35</v>
      </c>
      <c r="I309" s="129" t="s">
        <v>1020</v>
      </c>
      <c r="J309" s="88" t="s">
        <v>35</v>
      </c>
      <c r="K309" s="88" t="s">
        <v>38</v>
      </c>
      <c r="L309" s="117" t="s">
        <v>939</v>
      </c>
      <c r="M309" s="111"/>
      <c r="N309" s="111"/>
      <c r="O309" s="111"/>
      <c r="P309" s="111"/>
      <c r="Q309" s="111"/>
      <c r="R309" s="111"/>
      <c r="S309" s="95" t="s">
        <v>1062</v>
      </c>
      <c r="T309" s="111"/>
      <c r="U309" s="111"/>
      <c r="V309" s="111"/>
      <c r="W309" s="111"/>
      <c r="X309" s="113" t="s">
        <v>42</v>
      </c>
      <c r="Y309" s="113" t="s">
        <v>42</v>
      </c>
      <c r="Z309" s="113"/>
      <c r="AA309" s="113" t="s">
        <v>42</v>
      </c>
      <c r="AB309" s="113" t="s">
        <v>42</v>
      </c>
      <c r="AC309" s="119"/>
      <c r="AD309" s="149">
        <v>2</v>
      </c>
    </row>
    <row r="310" spans="1:30" ht="90" hidden="1" customHeight="1" x14ac:dyDescent="0.3">
      <c r="A310" s="88">
        <v>309</v>
      </c>
      <c r="B310" s="121" t="s">
        <v>685</v>
      </c>
      <c r="C310" s="95" t="s">
        <v>1063</v>
      </c>
      <c r="D310" s="116" t="s">
        <v>695</v>
      </c>
      <c r="E310" s="116" t="s">
        <v>543</v>
      </c>
      <c r="F310" s="95" t="s">
        <v>525</v>
      </c>
      <c r="G310" s="95" t="s">
        <v>34</v>
      </c>
      <c r="H310" s="88" t="s">
        <v>37</v>
      </c>
      <c r="I310" s="129" t="s">
        <v>1064</v>
      </c>
      <c r="J310" s="88" t="s">
        <v>35</v>
      </c>
      <c r="K310" s="88" t="s">
        <v>38</v>
      </c>
      <c r="L310" s="117" t="s">
        <v>939</v>
      </c>
      <c r="M310" s="111"/>
      <c r="N310" s="111"/>
      <c r="O310" s="111"/>
      <c r="P310" s="111"/>
      <c r="Q310" s="111"/>
      <c r="R310" s="111"/>
      <c r="S310" s="111" t="s">
        <v>74</v>
      </c>
      <c r="T310" s="111"/>
      <c r="U310" s="111"/>
      <c r="V310" s="111"/>
      <c r="W310" s="111"/>
      <c r="X310" s="113" t="s">
        <v>185</v>
      </c>
      <c r="Y310" s="113" t="s">
        <v>43</v>
      </c>
      <c r="Z310" s="113"/>
      <c r="AA310" s="113" t="s">
        <v>185</v>
      </c>
      <c r="AB310" s="113" t="s">
        <v>43</v>
      </c>
      <c r="AC310" s="119"/>
      <c r="AD310" s="149">
        <v>2</v>
      </c>
    </row>
    <row r="311" spans="1:30" ht="90" hidden="1" customHeight="1" x14ac:dyDescent="0.3">
      <c r="A311" s="88">
        <v>310</v>
      </c>
      <c r="B311" s="121" t="s">
        <v>685</v>
      </c>
      <c r="C311" s="95"/>
      <c r="D311" s="116"/>
      <c r="E311" s="116" t="s">
        <v>697</v>
      </c>
      <c r="F311" s="95" t="s">
        <v>525</v>
      </c>
      <c r="G311" s="95" t="s">
        <v>34</v>
      </c>
      <c r="H311" s="88" t="s">
        <v>35</v>
      </c>
      <c r="I311" s="129" t="s">
        <v>1064</v>
      </c>
      <c r="J311" s="88" t="s">
        <v>35</v>
      </c>
      <c r="K311" s="88" t="s">
        <v>38</v>
      </c>
      <c r="L311" s="117" t="s">
        <v>939</v>
      </c>
      <c r="M311" s="111"/>
      <c r="N311" s="111"/>
      <c r="O311" s="111"/>
      <c r="P311" s="111"/>
      <c r="Q311" s="111"/>
      <c r="R311" s="111"/>
      <c r="S311" s="95" t="s">
        <v>1065</v>
      </c>
      <c r="T311" s="111"/>
      <c r="U311" s="111"/>
      <c r="V311" s="111"/>
      <c r="W311" s="111"/>
      <c r="X311" s="113" t="s">
        <v>91</v>
      </c>
      <c r="Y311" s="113" t="s">
        <v>43</v>
      </c>
      <c r="Z311" s="113"/>
      <c r="AA311" s="113" t="s">
        <v>91</v>
      </c>
      <c r="AB311" s="113" t="s">
        <v>43</v>
      </c>
      <c r="AC311" s="119"/>
      <c r="AD311" s="149">
        <v>2</v>
      </c>
    </row>
    <row r="312" spans="1:30" ht="105" hidden="1" customHeight="1" x14ac:dyDescent="0.3">
      <c r="A312" s="88">
        <v>311</v>
      </c>
      <c r="B312" s="121" t="s">
        <v>685</v>
      </c>
      <c r="C312" s="95"/>
      <c r="D312" s="116"/>
      <c r="E312" s="116" t="s">
        <v>478</v>
      </c>
      <c r="F312" s="95" t="s">
        <v>525</v>
      </c>
      <c r="G312" s="95" t="s">
        <v>34</v>
      </c>
      <c r="H312" s="88" t="s">
        <v>35</v>
      </c>
      <c r="I312" s="129" t="s">
        <v>1064</v>
      </c>
      <c r="J312" s="88" t="s">
        <v>35</v>
      </c>
      <c r="K312" s="88" t="s">
        <v>38</v>
      </c>
      <c r="L312" s="117" t="s">
        <v>939</v>
      </c>
      <c r="M312" s="111"/>
      <c r="N312" s="111"/>
      <c r="O312" s="111"/>
      <c r="P312" s="111"/>
      <c r="Q312" s="111"/>
      <c r="R312" s="111"/>
      <c r="S312" s="95" t="s">
        <v>74</v>
      </c>
      <c r="T312" s="111"/>
      <c r="U312" s="111"/>
      <c r="V312" s="111"/>
      <c r="W312" s="111"/>
      <c r="X312" s="113" t="s">
        <v>185</v>
      </c>
      <c r="Y312" s="113" t="s">
        <v>43</v>
      </c>
      <c r="Z312" s="113"/>
      <c r="AA312" s="113" t="s">
        <v>185</v>
      </c>
      <c r="AB312" s="113" t="s">
        <v>43</v>
      </c>
      <c r="AC312" s="119"/>
      <c r="AD312" s="149">
        <v>2</v>
      </c>
    </row>
    <row r="313" spans="1:30" ht="75" hidden="1" customHeight="1" x14ac:dyDescent="0.3">
      <c r="A313" s="88">
        <v>312</v>
      </c>
      <c r="B313" s="121" t="s">
        <v>685</v>
      </c>
      <c r="C313" s="95"/>
      <c r="D313" s="116"/>
      <c r="E313" s="116" t="s">
        <v>698</v>
      </c>
      <c r="F313" s="95" t="s">
        <v>525</v>
      </c>
      <c r="G313" s="95" t="s">
        <v>34</v>
      </c>
      <c r="H313" s="88" t="s">
        <v>35</v>
      </c>
      <c r="I313" s="129" t="s">
        <v>1064</v>
      </c>
      <c r="J313" s="88" t="s">
        <v>35</v>
      </c>
      <c r="K313" s="88" t="s">
        <v>38</v>
      </c>
      <c r="L313" s="117" t="s">
        <v>939</v>
      </c>
      <c r="M313" s="111"/>
      <c r="N313" s="111"/>
      <c r="O313" s="111"/>
      <c r="P313" s="111"/>
      <c r="Q313" s="111"/>
      <c r="R313" s="111"/>
      <c r="S313" s="95" t="s">
        <v>1066</v>
      </c>
      <c r="T313" s="111"/>
      <c r="U313" s="111"/>
      <c r="V313" s="111"/>
      <c r="W313" s="111"/>
      <c r="X313" s="113" t="s">
        <v>79</v>
      </c>
      <c r="Y313" s="113" t="s">
        <v>42</v>
      </c>
      <c r="Z313" s="113"/>
      <c r="AA313" s="113" t="s">
        <v>79</v>
      </c>
      <c r="AB313" s="113" t="s">
        <v>42</v>
      </c>
      <c r="AC313" s="119"/>
      <c r="AD313" s="149">
        <v>2</v>
      </c>
    </row>
    <row r="314" spans="1:30" ht="135" hidden="1" customHeight="1" x14ac:dyDescent="0.3">
      <c r="A314" s="88">
        <v>313</v>
      </c>
      <c r="B314" s="121" t="s">
        <v>685</v>
      </c>
      <c r="C314" s="95" t="s">
        <v>1067</v>
      </c>
      <c r="D314" s="116" t="s">
        <v>585</v>
      </c>
      <c r="E314" s="116" t="s">
        <v>702</v>
      </c>
      <c r="F314" s="95" t="s">
        <v>525</v>
      </c>
      <c r="G314" s="95" t="s">
        <v>34</v>
      </c>
      <c r="H314" s="88" t="s">
        <v>35</v>
      </c>
      <c r="I314" s="129" t="s">
        <v>1064</v>
      </c>
      <c r="J314" s="88" t="s">
        <v>35</v>
      </c>
      <c r="K314" s="88" t="s">
        <v>38</v>
      </c>
      <c r="L314" s="117" t="s">
        <v>939</v>
      </c>
      <c r="M314" s="111"/>
      <c r="N314" s="111"/>
      <c r="O314" s="111"/>
      <c r="P314" s="111"/>
      <c r="Q314" s="111"/>
      <c r="R314" s="111"/>
      <c r="S314" s="95" t="s">
        <v>74</v>
      </c>
      <c r="T314" s="111"/>
      <c r="U314" s="111"/>
      <c r="V314" s="111"/>
      <c r="W314" s="111"/>
      <c r="X314" s="113" t="s">
        <v>185</v>
      </c>
      <c r="Y314" s="113" t="s">
        <v>43</v>
      </c>
      <c r="Z314" s="113"/>
      <c r="AA314" s="113" t="s">
        <v>185</v>
      </c>
      <c r="AB314" s="113" t="s">
        <v>43</v>
      </c>
      <c r="AC314" s="119"/>
      <c r="AD314" s="149">
        <v>2</v>
      </c>
    </row>
    <row r="315" spans="1:30" ht="60" hidden="1" customHeight="1" x14ac:dyDescent="0.3">
      <c r="A315" s="88">
        <v>314</v>
      </c>
      <c r="B315" s="121" t="s">
        <v>685</v>
      </c>
      <c r="C315" s="95"/>
      <c r="D315" s="116"/>
      <c r="E315" s="116" t="s">
        <v>613</v>
      </c>
      <c r="F315" s="95" t="s">
        <v>525</v>
      </c>
      <c r="G315" s="95" t="s">
        <v>34</v>
      </c>
      <c r="H315" s="88" t="s">
        <v>35</v>
      </c>
      <c r="I315" s="129" t="s">
        <v>1064</v>
      </c>
      <c r="J315" s="88" t="s">
        <v>35</v>
      </c>
      <c r="K315" s="88" t="s">
        <v>38</v>
      </c>
      <c r="L315" s="117" t="s">
        <v>939</v>
      </c>
      <c r="M315" s="111"/>
      <c r="N315" s="111"/>
      <c r="O315" s="111"/>
      <c r="P315" s="111"/>
      <c r="Q315" s="111"/>
      <c r="R315" s="111"/>
      <c r="S315" s="95" t="s">
        <v>649</v>
      </c>
      <c r="T315" s="111"/>
      <c r="U315" s="111"/>
      <c r="V315" s="111"/>
      <c r="W315" s="111"/>
      <c r="X315" s="113" t="s">
        <v>91</v>
      </c>
      <c r="Y315" s="113" t="s">
        <v>43</v>
      </c>
      <c r="Z315" s="113"/>
      <c r="AA315" s="113" t="s">
        <v>91</v>
      </c>
      <c r="AB315" s="113" t="s">
        <v>43</v>
      </c>
      <c r="AC315" s="119"/>
      <c r="AD315" s="149">
        <v>2</v>
      </c>
    </row>
    <row r="316" spans="1:30" ht="60" hidden="1" customHeight="1" x14ac:dyDescent="0.3">
      <c r="A316" s="88">
        <v>315</v>
      </c>
      <c r="B316" s="121" t="s">
        <v>685</v>
      </c>
      <c r="C316" s="95"/>
      <c r="D316" s="116"/>
      <c r="E316" s="116" t="s">
        <v>703</v>
      </c>
      <c r="F316" s="95" t="s">
        <v>525</v>
      </c>
      <c r="G316" s="95" t="s">
        <v>34</v>
      </c>
      <c r="H316" s="88" t="s">
        <v>35</v>
      </c>
      <c r="I316" s="129" t="s">
        <v>1064</v>
      </c>
      <c r="J316" s="88" t="s">
        <v>35</v>
      </c>
      <c r="K316" s="88" t="s">
        <v>38</v>
      </c>
      <c r="L316" s="117" t="s">
        <v>939</v>
      </c>
      <c r="M316" s="111"/>
      <c r="N316" s="111"/>
      <c r="O316" s="111"/>
      <c r="P316" s="111"/>
      <c r="Q316" s="111"/>
      <c r="R316" s="111"/>
      <c r="S316" s="95" t="s">
        <v>838</v>
      </c>
      <c r="T316" s="111"/>
      <c r="U316" s="111"/>
      <c r="V316" s="111"/>
      <c r="W316" s="111"/>
      <c r="X316" s="113" t="s">
        <v>79</v>
      </c>
      <c r="Y316" s="113" t="s">
        <v>43</v>
      </c>
      <c r="Z316" s="113"/>
      <c r="AA316" s="113" t="s">
        <v>79</v>
      </c>
      <c r="AB316" s="113" t="s">
        <v>43</v>
      </c>
      <c r="AC316" s="119"/>
      <c r="AD316" s="149">
        <v>2</v>
      </c>
    </row>
    <row r="317" spans="1:30" ht="60" hidden="1" customHeight="1" x14ac:dyDescent="0.3">
      <c r="A317" s="88">
        <v>316</v>
      </c>
      <c r="B317" s="121" t="s">
        <v>685</v>
      </c>
      <c r="C317" s="95"/>
      <c r="D317" s="116"/>
      <c r="E317" s="116" t="s">
        <v>706</v>
      </c>
      <c r="F317" s="95" t="s">
        <v>525</v>
      </c>
      <c r="G317" s="95" t="s">
        <v>34</v>
      </c>
      <c r="H317" s="88" t="s">
        <v>35</v>
      </c>
      <c r="I317" s="129" t="s">
        <v>1064</v>
      </c>
      <c r="J317" s="88" t="s">
        <v>35</v>
      </c>
      <c r="K317" s="88" t="s">
        <v>38</v>
      </c>
      <c r="L317" s="117" t="s">
        <v>939</v>
      </c>
      <c r="M317" s="111"/>
      <c r="N317" s="111"/>
      <c r="O317" s="111"/>
      <c r="P317" s="111"/>
      <c r="Q317" s="111"/>
      <c r="R317" s="111"/>
      <c r="S317" s="95" t="s">
        <v>74</v>
      </c>
      <c r="T317" s="111"/>
      <c r="U317" s="111"/>
      <c r="V317" s="111"/>
      <c r="W317" s="111"/>
      <c r="X317" s="113" t="s">
        <v>43</v>
      </c>
      <c r="Y317" s="113" t="s">
        <v>42</v>
      </c>
      <c r="Z317" s="113"/>
      <c r="AA317" s="113" t="s">
        <v>43</v>
      </c>
      <c r="AB317" s="113" t="s">
        <v>42</v>
      </c>
      <c r="AC317" s="119"/>
      <c r="AD317" s="149">
        <v>2</v>
      </c>
    </row>
    <row r="318" spans="1:30" ht="60" hidden="1" customHeight="1" x14ac:dyDescent="0.3">
      <c r="A318" s="88">
        <v>317</v>
      </c>
      <c r="B318" s="121" t="s">
        <v>685</v>
      </c>
      <c r="C318" s="95" t="s">
        <v>1068</v>
      </c>
      <c r="D318" s="116" t="s">
        <v>708</v>
      </c>
      <c r="E318" s="116" t="s">
        <v>709</v>
      </c>
      <c r="F318" s="95" t="s">
        <v>525</v>
      </c>
      <c r="G318" s="95" t="s">
        <v>34</v>
      </c>
      <c r="H318" s="88" t="s">
        <v>35</v>
      </c>
      <c r="I318" s="129" t="s">
        <v>1020</v>
      </c>
      <c r="J318" s="88" t="s">
        <v>37</v>
      </c>
      <c r="K318" s="88" t="s">
        <v>38</v>
      </c>
      <c r="L318" s="117" t="s">
        <v>939</v>
      </c>
      <c r="M318" s="111"/>
      <c r="N318" s="111"/>
      <c r="O318" s="111"/>
      <c r="P318" s="111"/>
      <c r="Q318" s="111"/>
      <c r="R318" s="111"/>
      <c r="S318" s="95" t="s">
        <v>1069</v>
      </c>
      <c r="T318" s="111"/>
      <c r="U318" s="111"/>
      <c r="V318" s="111"/>
      <c r="W318" s="111"/>
      <c r="X318" s="113" t="s">
        <v>79</v>
      </c>
      <c r="Y318" s="113" t="s">
        <v>43</v>
      </c>
      <c r="Z318" s="113"/>
      <c r="AA318" s="113" t="s">
        <v>79</v>
      </c>
      <c r="AB318" s="113" t="s">
        <v>43</v>
      </c>
      <c r="AC318" s="119"/>
      <c r="AD318" s="149">
        <v>2</v>
      </c>
    </row>
    <row r="319" spans="1:30" ht="60" hidden="1" customHeight="1" x14ac:dyDescent="0.3">
      <c r="A319" s="88">
        <v>318</v>
      </c>
      <c r="B319" s="121" t="s">
        <v>685</v>
      </c>
      <c r="C319" s="95" t="s">
        <v>1070</v>
      </c>
      <c r="D319" s="116" t="s">
        <v>712</v>
      </c>
      <c r="E319" s="116" t="s">
        <v>713</v>
      </c>
      <c r="F319" s="95" t="s">
        <v>525</v>
      </c>
      <c r="G319" s="95" t="s">
        <v>34</v>
      </c>
      <c r="H319" s="88" t="s">
        <v>35</v>
      </c>
      <c r="I319" s="129" t="s">
        <v>1064</v>
      </c>
      <c r="J319" s="88" t="s">
        <v>35</v>
      </c>
      <c r="K319" s="88" t="s">
        <v>38</v>
      </c>
      <c r="L319" s="117" t="s">
        <v>939</v>
      </c>
      <c r="M319" s="111"/>
      <c r="N319" s="111"/>
      <c r="O319" s="111"/>
      <c r="P319" s="111"/>
      <c r="Q319" s="111"/>
      <c r="R319" s="111"/>
      <c r="S319" s="95" t="s">
        <v>1071</v>
      </c>
      <c r="T319" s="111"/>
      <c r="U319" s="111"/>
      <c r="V319" s="111"/>
      <c r="W319" s="111"/>
      <c r="X319" s="113" t="s">
        <v>79</v>
      </c>
      <c r="Y319" s="113" t="s">
        <v>43</v>
      </c>
      <c r="Z319" s="113"/>
      <c r="AA319" s="113" t="s">
        <v>79</v>
      </c>
      <c r="AB319" s="113" t="s">
        <v>43</v>
      </c>
      <c r="AC319" s="119"/>
      <c r="AD319" s="149">
        <v>2</v>
      </c>
    </row>
    <row r="320" spans="1:30" ht="75" hidden="1" customHeight="1" x14ac:dyDescent="0.3">
      <c r="A320" s="138">
        <v>319</v>
      </c>
      <c r="B320" s="135" t="s">
        <v>685</v>
      </c>
      <c r="C320" s="136"/>
      <c r="D320" s="137"/>
      <c r="E320" s="137" t="s">
        <v>715</v>
      </c>
      <c r="F320" s="136" t="s">
        <v>525</v>
      </c>
      <c r="G320" s="136" t="s">
        <v>34</v>
      </c>
      <c r="H320" s="138" t="s">
        <v>35</v>
      </c>
      <c r="I320" s="139" t="s">
        <v>1064</v>
      </c>
      <c r="J320" s="138" t="s">
        <v>35</v>
      </c>
      <c r="K320" s="138" t="s">
        <v>38</v>
      </c>
      <c r="L320" s="144" t="s">
        <v>939</v>
      </c>
      <c r="M320" s="140"/>
      <c r="N320" s="140"/>
      <c r="O320" s="140"/>
      <c r="P320" s="140"/>
      <c r="Q320" s="140"/>
      <c r="R320" s="140"/>
      <c r="S320" s="136" t="s">
        <v>74</v>
      </c>
      <c r="T320" s="140"/>
      <c r="U320" s="140"/>
      <c r="V320" s="140"/>
      <c r="W320" s="140"/>
      <c r="X320" s="145" t="s">
        <v>75</v>
      </c>
      <c r="Y320" s="145" t="s">
        <v>43</v>
      </c>
      <c r="Z320" s="145"/>
      <c r="AA320" s="145" t="s">
        <v>75</v>
      </c>
      <c r="AB320" s="145" t="s">
        <v>43</v>
      </c>
      <c r="AC320" s="141"/>
      <c r="AD320" s="151">
        <v>2</v>
      </c>
    </row>
  </sheetData>
  <pageMargins left="0.7" right="0.7" top="0.75" bottom="0.75"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0ABBF052-B575-43F3-8625-9CB0E31E5A5D}">
          <x14:formula1>
            <xm:f>'DATA List'!$A$1:$A$2</xm:f>
          </x14:formula1>
          <xm:sqref>H2:H320 J2:J320</xm:sqref>
        </x14:dataValidation>
        <x14:dataValidation type="list" allowBlank="1" showInputMessage="1" showErrorMessage="1" xr:uid="{A8A2CDEC-5B1A-4A19-86B3-0F86129F5F03}">
          <x14:formula1>
            <xm:f>'DATA List'!$C$1:$C$2</xm:f>
          </x14:formula1>
          <xm:sqref>K2:K320</xm:sqref>
        </x14:dataValidation>
        <x14:dataValidation type="list" allowBlank="1" showInputMessage="1" showErrorMessage="1" xr:uid="{3B238CA6-93BA-4302-9F9E-8415D11753E9}">
          <x14:formula1>
            <xm:f>'DATA List'!$A$4:$A$9</xm:f>
          </x14:formula1>
          <xm:sqref>X2:AC320</xm:sqref>
        </x14:dataValidation>
        <x14:dataValidation type="list" allowBlank="1" showInputMessage="1" showErrorMessage="1" xr:uid="{D27C5326-C9D7-41BA-B51B-986AA79761EB}">
          <x14:formula1>
            <xm:f>'DATA List'!$C$4:$C$7</xm:f>
          </x14:formula1>
          <xm:sqref>AD2:AD320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9"/>
  <sheetViews>
    <sheetView topLeftCell="A6" zoomScale="115" zoomScaleNormal="115" workbookViewId="0">
      <selection activeCell="B11" sqref="B11"/>
    </sheetView>
  </sheetViews>
  <sheetFormatPr defaultColWidth="8.6640625" defaultRowHeight="15" customHeight="1" x14ac:dyDescent="0.3"/>
  <cols>
    <col min="2" max="2" width="93.44140625" customWidth="1"/>
    <col min="3" max="3" width="13.5546875" customWidth="1"/>
    <col min="4" max="4" width="9.5546875" customWidth="1"/>
    <col min="5" max="5" width="11.44140625" customWidth="1"/>
    <col min="6" max="6" width="16.6640625" customWidth="1"/>
    <col min="7" max="7" width="10.6640625" customWidth="1"/>
    <col min="8" max="8" width="12.5546875" customWidth="1"/>
    <col min="9" max="9" width="12.109375" customWidth="1"/>
    <col min="10" max="11" width="10.6640625" customWidth="1"/>
    <col min="12" max="12" width="11.5546875" customWidth="1"/>
    <col min="13" max="13" width="10.6640625" customWidth="1"/>
    <col min="14" max="14" width="11.44140625" customWidth="1"/>
    <col min="15" max="15" width="11.5546875" customWidth="1"/>
    <col min="16" max="16" width="7.5546875" customWidth="1"/>
    <col min="17" max="17" width="33.5546875" customWidth="1"/>
  </cols>
  <sheetData>
    <row r="1" spans="1:16" ht="30" customHeight="1" x14ac:dyDescent="0.3">
      <c r="A1" s="13"/>
      <c r="B1" s="14" t="s">
        <v>1072</v>
      </c>
      <c r="C1" s="14"/>
      <c r="D1" s="13"/>
      <c r="E1" s="15" t="s">
        <v>1073</v>
      </c>
      <c r="F1" s="15" t="s">
        <v>1074</v>
      </c>
      <c r="G1" s="15" t="s">
        <v>1075</v>
      </c>
      <c r="H1" s="13"/>
      <c r="I1" s="13"/>
    </row>
    <row r="2" spans="1:16" ht="30" customHeight="1" x14ac:dyDescent="0.3">
      <c r="A2" s="13"/>
      <c r="B2" s="14" t="s">
        <v>1076</v>
      </c>
      <c r="C2" s="14"/>
      <c r="D2" s="13"/>
      <c r="E2" s="16" t="s">
        <v>1077</v>
      </c>
      <c r="F2" s="16">
        <f>A38</f>
        <v>28</v>
      </c>
      <c r="G2" s="16">
        <f>C39</f>
        <v>259</v>
      </c>
      <c r="H2" s="13"/>
      <c r="I2" s="13"/>
    </row>
    <row r="3" spans="1:16" ht="30" customHeight="1" x14ac:dyDescent="0.3">
      <c r="A3" s="13"/>
      <c r="B3" s="14" t="s">
        <v>1078</v>
      </c>
      <c r="C3" s="14"/>
      <c r="D3" s="13"/>
      <c r="E3" s="16" t="s">
        <v>1079</v>
      </c>
      <c r="F3" s="17">
        <v>16</v>
      </c>
      <c r="G3" s="16">
        <f>COUNTIFS('DP və TP'!J:J,"Əsas icraçı",'DP və TP'!$AD:$AD,"&lt;=1")</f>
        <v>115</v>
      </c>
      <c r="H3" s="13"/>
      <c r="I3" s="13"/>
    </row>
    <row r="4" spans="1:16" ht="30" customHeight="1" x14ac:dyDescent="0.3">
      <c r="A4" s="13"/>
      <c r="B4" s="14" t="s">
        <v>1080</v>
      </c>
      <c r="C4" s="14"/>
      <c r="D4" s="13"/>
      <c r="E4" s="16" t="s">
        <v>1081</v>
      </c>
      <c r="F4" s="18">
        <v>18</v>
      </c>
      <c r="G4" s="16">
        <f>COUNTIFS('DP və TP'!J:J,"Digər icraçı",'DP və TP'!$AD:$AD,"&lt;=1")</f>
        <v>144</v>
      </c>
      <c r="H4" s="13"/>
      <c r="I4" s="13"/>
    </row>
    <row r="5" spans="1:16" ht="15" customHeight="1" x14ac:dyDescent="0.3">
      <c r="A5" s="13"/>
      <c r="B5" s="14" t="s">
        <v>1082</v>
      </c>
      <c r="C5" s="14"/>
      <c r="D5" s="13"/>
      <c r="E5" s="13"/>
      <c r="F5" s="13"/>
      <c r="G5" s="13"/>
      <c r="H5" s="13"/>
      <c r="I5" s="13"/>
    </row>
    <row r="8" spans="1:16" ht="15.75" customHeight="1" x14ac:dyDescent="0.3">
      <c r="C8" s="19"/>
    </row>
    <row r="9" spans="1:16" ht="35.25" customHeight="1" x14ac:dyDescent="0.3">
      <c r="A9" s="154" t="s">
        <v>1083</v>
      </c>
      <c r="B9" s="155" t="s">
        <v>1084</v>
      </c>
      <c r="C9" s="156" t="s">
        <v>1085</v>
      </c>
      <c r="D9" s="157" t="s">
        <v>1086</v>
      </c>
      <c r="E9" s="157"/>
      <c r="F9" s="157"/>
      <c r="G9" s="157"/>
      <c r="H9" s="157"/>
      <c r="I9" s="157"/>
      <c r="J9" s="152" t="s">
        <v>1087</v>
      </c>
      <c r="K9" s="152"/>
      <c r="L9" s="152"/>
      <c r="M9" s="152"/>
      <c r="N9" s="152"/>
      <c r="O9" s="152"/>
      <c r="P9" s="152"/>
    </row>
    <row r="10" spans="1:16" ht="61.5" customHeight="1" x14ac:dyDescent="0.3">
      <c r="A10" s="154"/>
      <c r="B10" s="155"/>
      <c r="C10" s="156"/>
      <c r="D10" s="20" t="s">
        <v>43</v>
      </c>
      <c r="E10" s="21" t="s">
        <v>42</v>
      </c>
      <c r="F10" s="21" t="s">
        <v>79</v>
      </c>
      <c r="G10" s="21" t="s">
        <v>185</v>
      </c>
      <c r="H10" s="21" t="s">
        <v>75</v>
      </c>
      <c r="I10" s="20" t="s">
        <v>91</v>
      </c>
      <c r="J10" s="2" t="s">
        <v>43</v>
      </c>
      <c r="K10" s="2" t="s">
        <v>42</v>
      </c>
      <c r="L10" s="2" t="s">
        <v>79</v>
      </c>
      <c r="M10" s="2" t="s">
        <v>185</v>
      </c>
      <c r="N10" s="2" t="s">
        <v>75</v>
      </c>
      <c r="O10" s="2" t="s">
        <v>91</v>
      </c>
      <c r="P10" s="2" t="s">
        <v>1088</v>
      </c>
    </row>
    <row r="11" spans="1:16" ht="36.75" customHeight="1" x14ac:dyDescent="0.3">
      <c r="A11" s="22">
        <v>1</v>
      </c>
      <c r="B11" s="23" t="s">
        <v>278</v>
      </c>
      <c r="C11" s="24">
        <f>COUNTIFS('DP və TP'!$B:$B,B11,'DP və TP'!$AD:$AD,"&lt;=1")</f>
        <v>9</v>
      </c>
      <c r="D11" s="25">
        <f>COUNTIFS('DP və TP'!$B:$B,B11,'DP və TP'!$X:$X,"Tam icra",'DP və TP'!$AD:$AD,"&lt;=1")</f>
        <v>6</v>
      </c>
      <c r="E11" s="26">
        <f>COUNTIFS('DP və TP'!$B:$B,B11,
'DP və TP'!$X:$X,"Qismən icra",'DP və TP'!$AD:$AD,"&lt;=1")</f>
        <v>0</v>
      </c>
      <c r="F11" s="26">
        <f>COUNTIFS('DP və TP'!$B:$B,B11,
'DP və TP'!$X:$X,"İcra müddətinə var",'DP və TP'!$AD:$AD,"&lt;=1")</f>
        <v>3</v>
      </c>
      <c r="G11" s="26">
        <f>COUNTIFS('DP və TP'!$B:$B,B11,
'DP və TP'!$X:$X,"Gecikmə",'DP və TP'!$AD:$AD,"&lt;=1")</f>
        <v>0</v>
      </c>
      <c r="H11" s="26">
        <f>COUNTIFS('DP və TP'!$B:$B,B11,
'DP və TP'!$X:$X,"İcra olunmayıb",'DP və TP'!$AD:$AD,"&lt;=1")</f>
        <v>0</v>
      </c>
      <c r="I11" s="27">
        <f>COUNTIFS('DP və TP'!$B:$B,B11,
'DP və TP'!$X:$X,"İcra olunmayıb, prioritet deyil",'DP və TP'!$AD:$AD,"&lt;=1")</f>
        <v>0</v>
      </c>
      <c r="J11" s="28">
        <f>COUNTIFS('DP və TP'!$B:$B,B11,
'DP və TP'!$K:$K,"Tapşırıqların İcrasına Nəzarət platforması üzrə",
'DP və TP'!$X:$X,"Tam icra",'DP və TP'!$AD:$AD,"&lt;=1")</f>
        <v>1</v>
      </c>
      <c r="K11" s="28">
        <f>COUNTIFS('DP və TP'!$B:$B,B11,
'DP və TP'!$K:$K,"Tapşırıqların İcrasına Nəzarət platforması üzrə",
'DP və TP'!$X:$X,"Qismən icra",'DP və TP'!$AD:$AD,"&lt;=1")</f>
        <v>0</v>
      </c>
      <c r="L11" s="28">
        <f>COUNTIFS('DP və TP'!$B:$B,B11,
'DP və TP'!$K:$K,"Tapşırıqların İcrasına Nəzarət platforması üzrə",
'DP və TP'!$X:$X,"İcra müddətinə var",'DP və TP'!$AD:$AD,"&lt;=1")</f>
        <v>1</v>
      </c>
      <c r="M11" s="28">
        <f>COUNTIFS('DP və TP'!$B:$B,B11,
'DP və TP'!$K:$K,"Tapşırıqların İcrasına Nəzarət platforması üzrə",
'DP və TP'!$X:$X,"Gecikmə",'DP və TP'!$AD:$AD,"&lt;=1")</f>
        <v>0</v>
      </c>
      <c r="N11" s="28">
        <f>COUNTIFS('DP və TP'!$B:$B,B11,
'DP və TP'!$K:$K,"Tapşırıqların İcrasına Nəzarət platforması üzrə",
'DP və TP'!$X:$X,"İcra olunmayıb",'DP və TP'!$AD:$AD,"&lt;=1")</f>
        <v>0</v>
      </c>
      <c r="O11" s="29">
        <f>COUNTIFS('DP və TP'!$B:$B,B11,
'DP və TP'!$K:$K,"Tapşırıqların İcrasına Nəzarət platforması üzrə",
'DP və TP'!$X:$X,"İcra olunmayıb, prioritet deyil",'DP və TP'!$AD:$AD,"&lt;=1")</f>
        <v>0</v>
      </c>
      <c r="P11" s="30">
        <f>SUM(J11:O11)</f>
        <v>2</v>
      </c>
    </row>
    <row r="12" spans="1:16" ht="36.75" customHeight="1" x14ac:dyDescent="0.3">
      <c r="A12" s="22">
        <v>2</v>
      </c>
      <c r="B12" s="23" t="s">
        <v>523</v>
      </c>
      <c r="C12" s="24">
        <f>COUNTIFS('DP və TP'!$B:$B,B12,'DP və TP'!$AD:$AD,"&lt;=1")</f>
        <v>4</v>
      </c>
      <c r="D12" s="31">
        <f>COUNTIFS('DP və TP'!$B:$B,B12,'DP və TP'!$X:$X,"Tam icra",'DP və TP'!$AD:$AD,"&lt;=1")</f>
        <v>0</v>
      </c>
      <c r="E12" s="32">
        <f>COUNTIFS('DP və TP'!$B:$B,B12,
'DP və TP'!$X:$X,"Qismən icra",'DP və TP'!$AD:$AD,"&lt;=1")</f>
        <v>0</v>
      </c>
      <c r="F12" s="32">
        <f>COUNTIFS('DP və TP'!$B:$B,B12,
'DP və TP'!$X:$X,"İcra müddətinə var",'DP və TP'!$AD:$AD,"&lt;=1")</f>
        <v>2</v>
      </c>
      <c r="G12" s="32">
        <f>COUNTIFS('DP və TP'!$B:$B,B12,
'DP və TP'!$X:$X,"Gecikmə",'DP və TP'!$AD:$AD,"&lt;=1")</f>
        <v>0</v>
      </c>
      <c r="H12" s="32">
        <f>COUNTIFS('DP və TP'!$B:$B,B12,
'DP və TP'!$X:$X,"İcra olunmayıb",'DP və TP'!$AD:$AD,"&lt;=1")</f>
        <v>1</v>
      </c>
      <c r="I12" s="32">
        <f>COUNTIFS('DP və TP'!$B:$B,B12,
'DP və TP'!$X:$X,"İcra olunmayıb, prioritet deyil",'DP və TP'!$AD:$AD,"&lt;=1")</f>
        <v>1</v>
      </c>
      <c r="J12" s="33">
        <f>COUNTIFS('DP və TP'!$B:$B,B12,
'DP və TP'!$K:$K,"Tapşırıqların İcrasına Nəzarət platforması üzrə",
'DP və TP'!$X:$X,"Tam icra",'DP və TP'!$AD:$AD,"&lt;=1")</f>
        <v>0</v>
      </c>
      <c r="K12" s="33">
        <f>COUNTIFS('DP və TP'!$B:$B,B12,
'DP və TP'!$K:$K,"Tapşırıqların İcrasına Nəzarət platforması üzrə",
'DP və TP'!$X:$X,"Qismən icra",'DP və TP'!$AD:$AD,"&lt;=1")</f>
        <v>0</v>
      </c>
      <c r="L12" s="33">
        <f>COUNTIFS('DP və TP'!$B:$B,B12,
'DP və TP'!$K:$K,"Tapşırıqların İcrasına Nəzarət platforması üzrə",
'DP və TP'!$X:$X,"İcra müddətinə var",'DP və TP'!$AD:$AD,"&lt;=1")</f>
        <v>1</v>
      </c>
      <c r="M12" s="33">
        <f>COUNTIFS('DP və TP'!$B:$B,B12,
'DP və TP'!$K:$K,"Tapşırıqların İcrasına Nəzarət platforması üzrə",
'DP və TP'!$X:$X,"Gecikmə",'DP və TP'!$AD:$AD,"&lt;=1")</f>
        <v>0</v>
      </c>
      <c r="N12" s="33">
        <f>COUNTIFS('DP və TP'!$B:$B,B12,
'DP və TP'!$K:$K,"Tapşırıqların İcrasına Nəzarət platforması üzrə",
'DP və TP'!$X:$X,"İcra olunmayıb",'DP və TP'!$AD:$AD,"&lt;=1")</f>
        <v>0</v>
      </c>
      <c r="O12" s="34">
        <f>COUNTIFS('DP və TP'!$B:$B,B12,
'DP və TP'!$K:$K,"Tapşırıqların İcrasına Nəzarət platforması üzrə",
'DP və TP'!$X:$X,"İcra olunmayıb, prioritet deyil",'DP və TP'!$AD:$AD,"&lt;=1")</f>
        <v>1</v>
      </c>
      <c r="P12" s="30"/>
    </row>
    <row r="13" spans="1:16" ht="78" customHeight="1" x14ac:dyDescent="0.3">
      <c r="A13" s="22">
        <v>3</v>
      </c>
      <c r="B13" s="23" t="s">
        <v>436</v>
      </c>
      <c r="C13" s="35">
        <f>COUNTIFS('DP və TP'!$B:$B,B13,'DP və TP'!$AD:$AD,"&lt;=1")</f>
        <v>1</v>
      </c>
      <c r="D13" s="36">
        <f>COUNTIFS('DP və TP'!$B:$B,B13,'DP və TP'!$X:$X,"Tam icra",'DP və TP'!$AD:$AD,"&lt;=1")</f>
        <v>0</v>
      </c>
      <c r="E13" s="37">
        <f>COUNTIFS('DP və TP'!$B:$B,B13,
'DP və TP'!$X:$X,"Qismən icra",'DP və TP'!$AD:$AD,"&lt;=1")</f>
        <v>0</v>
      </c>
      <c r="F13" s="37">
        <f>COUNTIFS('DP və TP'!$B:$B,B13,
'DP və TP'!$X:$X,"İcra müddətinə var",'DP və TP'!$AD:$AD,"&lt;=1")</f>
        <v>1</v>
      </c>
      <c r="G13" s="37">
        <f>COUNTIFS('DP və TP'!$B:$B,B13,
'DP və TP'!$X:$X,"Gecikmə",'DP və TP'!$AD:$AD,"&lt;=1")</f>
        <v>0</v>
      </c>
      <c r="H13" s="37">
        <f>COUNTIFS('DP və TP'!$B:$B,B13,
'DP və TP'!$X:$X,"İcra olunmayıb",'DP və TP'!$AD:$AD,"&lt;=1")</f>
        <v>0</v>
      </c>
      <c r="I13" s="37">
        <f>COUNTIFS('DP və TP'!$B:$B,B13,
'DP və TP'!$X:$X,"İcra olunmayıb, prioritet deyil",'DP və TP'!$AD:$AD,"&lt;=1")</f>
        <v>0</v>
      </c>
      <c r="J13" s="33">
        <f>COUNTIFS('DP və TP'!$B:$B,B13,
'DP və TP'!$K:$K,"Tapşırıqların İcrasına Nəzarət platforması üzrə",
'DP və TP'!$X:$X,"Tam icra",'DP və TP'!$AD:$AD,"&lt;=1")</f>
        <v>0</v>
      </c>
      <c r="K13" s="33">
        <f>COUNTIFS('DP və TP'!$B:$B,B13,
'DP və TP'!$K:$K,"Tapşırıqların İcrasına Nəzarət platforması üzrə",
'DP və TP'!$X:$X,"Qismən icra",'DP və TP'!$AD:$AD,"&lt;=1")</f>
        <v>0</v>
      </c>
      <c r="L13" s="33">
        <f>COUNTIFS('DP və TP'!$B:$B,B13,
'DP və TP'!$K:$K,"Tapşırıqların İcrasına Nəzarət platforması üzrə",
'DP və TP'!$X:$X,"İcra müddətinə var",'DP və TP'!$AD:$AD,"&lt;=1")</f>
        <v>1</v>
      </c>
      <c r="M13" s="33">
        <f>COUNTIFS('DP və TP'!$B:$B,B13,
'DP və TP'!$K:$K,"Tapşırıqların İcrasına Nəzarət platforması üzrə",
'DP və TP'!$X:$X,"Gecikmə",'DP və TP'!$AD:$AD,"&lt;=1")</f>
        <v>0</v>
      </c>
      <c r="N13" s="33">
        <f>COUNTIFS('DP və TP'!$B:$B,B13,
'DP və TP'!$K:$K,"Tapşırıqların İcrasına Nəzarət platforması üzrə",
'DP və TP'!$X:$X,"İcra olunmayıb",'DP və TP'!$AD:$AD,"&lt;=1")</f>
        <v>0</v>
      </c>
      <c r="O13" s="34">
        <f>COUNTIFS('DP və TP'!$B:$B,B13,
'DP və TP'!$K:$K,"Tapşırıqların İcrasına Nəzarət platforması üzrə",
'DP və TP'!$X:$X,"İcra olunmayıb, prioritet deyil",'DP və TP'!$AD:$AD,"&lt;=1")</f>
        <v>0</v>
      </c>
      <c r="P13" s="38">
        <f t="shared" ref="P13:P20" si="0">SUM(J13:O13)</f>
        <v>1</v>
      </c>
    </row>
    <row r="14" spans="1:16" ht="50.25" customHeight="1" x14ac:dyDescent="0.3">
      <c r="A14" s="22">
        <v>4</v>
      </c>
      <c r="B14" s="23" t="s">
        <v>309</v>
      </c>
      <c r="C14" s="39">
        <f>COUNTIFS('DP və TP'!$B:$B,B14,'DP və TP'!$AD:$AD,"&lt;=1")</f>
        <v>6</v>
      </c>
      <c r="D14" s="31">
        <f>COUNTIFS('DP və TP'!$B:$B,B14,'DP və TP'!$X:$X,"Tam icra",'DP və TP'!$AD:$AD,"&lt;=1")</f>
        <v>0</v>
      </c>
      <c r="E14" s="32">
        <f>COUNTIFS('DP və TP'!$B:$B,B14,
'DP və TP'!$X:$X,"Qismən icra",'DP və TP'!$AD:$AD,"&lt;=1")</f>
        <v>1</v>
      </c>
      <c r="F14" s="32">
        <f>COUNTIFS('DP və TP'!$B:$B,B14,
'DP və TP'!$X:$X,"İcra müddətinə var",'DP və TP'!$AD:$AD,"&lt;=1")</f>
        <v>3</v>
      </c>
      <c r="G14" s="32">
        <f>COUNTIFS('DP və TP'!$B:$B,B14,
'DP və TP'!$X:$X,"Gecikmə",'DP və TP'!$AD:$AD,"&lt;=1")</f>
        <v>1</v>
      </c>
      <c r="H14" s="32">
        <f>COUNTIFS('DP və TP'!$B:$B,B14,
'DP və TP'!$X:$X,"İcra olunmayıb",'DP və TP'!$AD:$AD,"&lt;=1")</f>
        <v>0</v>
      </c>
      <c r="I14" s="32">
        <f>COUNTIFS('DP və TP'!$B:$B,B14,
'DP və TP'!$X:$X,"İcra olunmayıb, prioritet deyil",'DP və TP'!$AD:$AD,"&lt;=1")</f>
        <v>1</v>
      </c>
      <c r="J14" s="33">
        <f>COUNTIFS('DP və TP'!$B:$B,B14,
'DP və TP'!$K:$K,"Tapşırıqların İcrasına Nəzarət platforması üzrə",
'DP və TP'!$X:$X,"Tam icra",'DP və TP'!$AD:$AD,"&lt;=1")</f>
        <v>0</v>
      </c>
      <c r="K14" s="33">
        <f>COUNTIFS('DP və TP'!$B:$B,B14,
'DP və TP'!$K:$K,"Tapşırıqların İcrasına Nəzarət platforması üzrə",
'DP və TP'!$X:$X,"Qismən icra",'DP və TP'!$AD:$AD,"&lt;=1")</f>
        <v>0</v>
      </c>
      <c r="L14" s="33">
        <f>COUNTIFS('DP və TP'!$B:$B,B14,
'DP və TP'!$K:$K,"Tapşırıqların İcrasına Nəzarət platforması üzrə",
'DP və TP'!$X:$X,"İcra müddətinə var",'DP və TP'!$AD:$AD,"&lt;=1")</f>
        <v>0</v>
      </c>
      <c r="M14" s="33">
        <f>COUNTIFS('DP və TP'!$B:$B,B14,
'DP və TP'!$K:$K,"Tapşırıqların İcrasına Nəzarət platforması üzrə",
'DP və TP'!$X:$X,"Gecikmə",'DP və TP'!$AD:$AD,"&lt;=1")</f>
        <v>0</v>
      </c>
      <c r="N14" s="33">
        <f>COUNTIFS('DP və TP'!$B:$B,B14,
'DP və TP'!$K:$K,"Tapşırıqların İcrasına Nəzarət platforması üzrə",
'DP və TP'!$X:$X,"İcra olunmayıb",'DP və TP'!$AD:$AD,"&lt;=1")</f>
        <v>0</v>
      </c>
      <c r="O14" s="34">
        <f>COUNTIFS('DP və TP'!$B:$B,B14,
'DP və TP'!$K:$K,"Tapşırıqların İcrasına Nəzarət platforması üzrə",
'DP və TP'!$X:$X,"İcra olunmayıb, prioritet deyil",'DP və TP'!$AD:$AD,"&lt;=1")</f>
        <v>0</v>
      </c>
      <c r="P14" s="40">
        <f t="shared" si="0"/>
        <v>0</v>
      </c>
    </row>
    <row r="15" spans="1:16" ht="51" customHeight="1" x14ac:dyDescent="0.3">
      <c r="A15" s="22">
        <v>5</v>
      </c>
      <c r="B15" s="23" t="s">
        <v>146</v>
      </c>
      <c r="C15" s="41">
        <f>COUNTIFS('DP və TP'!$B:$B,B15,'DP və TP'!$AD:$AD,"&lt;=1")</f>
        <v>2</v>
      </c>
      <c r="D15" s="42">
        <f>COUNTIFS('DP və TP'!$B:$B,B15,'DP və TP'!$X:$X,"Tam icra",'DP və TP'!$AD:$AD,"&lt;=1")</f>
        <v>1</v>
      </c>
      <c r="E15" s="27">
        <f>COUNTIFS('DP və TP'!$B:$B,B15,
'DP və TP'!$X:$X,"Qismən icra",'DP və TP'!$AD:$AD,"&lt;=1")</f>
        <v>0</v>
      </c>
      <c r="F15" s="27">
        <f>COUNTIFS('DP və TP'!$B:$B,B15,
'DP və TP'!$X:$X,"İcra müddətinə var",'DP və TP'!$AD:$AD,"&lt;=1")</f>
        <v>0</v>
      </c>
      <c r="G15" s="27">
        <f>COUNTIFS('DP və TP'!$B:$B,B15,
'DP və TP'!$X:$X,"Gecikmə",'DP və TP'!$AD:$AD,"&lt;=1")</f>
        <v>0</v>
      </c>
      <c r="H15" s="27">
        <f>COUNTIFS('DP və TP'!$B:$B,B15,
'DP və TP'!$X:$X,"İcra olunmayıb",'DP və TP'!$AD:$AD,"&lt;=1")</f>
        <v>0</v>
      </c>
      <c r="I15" s="27">
        <f>COUNTIFS('DP və TP'!$B:$B,B15,
'DP və TP'!$X:$X,"İcra olunmayıb, prioritet deyil",'DP və TP'!$AD:$AD,"&lt;=1")</f>
        <v>1</v>
      </c>
      <c r="J15" s="33">
        <f>COUNTIFS('DP və TP'!$B:$B,B15,
'DP və TP'!$K:$K,"Tapşırıqların İcrasına Nəzarət platforması üzrə",
'DP və TP'!$X:$X,"Tam icra",'DP və TP'!$AD:$AD,"&lt;=1")</f>
        <v>1</v>
      </c>
      <c r="K15" s="33">
        <f>COUNTIFS('DP və TP'!$B:$B,B15,
'DP və TP'!$K:$K,"Tapşırıqların İcrasına Nəzarət platforması üzrə",
'DP və TP'!$X:$X,"Qismən icra",'DP və TP'!$AD:$AD,"&lt;=1")</f>
        <v>0</v>
      </c>
      <c r="L15" s="33">
        <f>COUNTIFS('DP və TP'!$B:$B,B15,
'DP və TP'!$K:$K,"Tapşırıqların İcrasına Nəzarət platforması üzrə",
'DP və TP'!$X:$X,"İcra müddətinə var",'DP və TP'!$AD:$AD,"&lt;=1")</f>
        <v>0</v>
      </c>
      <c r="M15" s="33">
        <f>COUNTIFS('DP və TP'!$B:$B,B15,
'DP və TP'!$K:$K,"Tapşırıqların İcrasına Nəzarət platforması üzrə",
'DP və TP'!$X:$X,"Gecikmə",'DP və TP'!$AD:$AD,"&lt;=1")</f>
        <v>0</v>
      </c>
      <c r="N15" s="33">
        <f>COUNTIFS('DP və TP'!$B:$B,B15,
'DP və TP'!$K:$K,"Tapşırıqların İcrasına Nəzarət platforması üzrə",
'DP və TP'!$X:$X,"İcra olunmayıb",'DP və TP'!$AD:$AD,"&lt;=1")</f>
        <v>0</v>
      </c>
      <c r="O15" s="34">
        <f>COUNTIFS('DP və TP'!$B:$B,B15,
'DP və TP'!$K:$K,"Tapşırıqların İcrasına Nəzarət platforması üzrə",
'DP və TP'!$X:$X,"İcra olunmayıb, prioritet deyil",'DP və TP'!$AD:$AD,"&lt;=1")</f>
        <v>0</v>
      </c>
      <c r="P15" s="43">
        <f t="shared" si="0"/>
        <v>1</v>
      </c>
    </row>
    <row r="16" spans="1:16" ht="39" customHeight="1" x14ac:dyDescent="0.3">
      <c r="A16" s="22">
        <v>6</v>
      </c>
      <c r="B16" s="23" t="s">
        <v>442</v>
      </c>
      <c r="C16" s="24">
        <f>COUNTIFS('DP və TP'!$B:$B,B16,'DP və TP'!$AD:$AD,"&lt;=1")</f>
        <v>4</v>
      </c>
      <c r="D16" s="36">
        <f>COUNTIFS('DP və TP'!$B:$B,B16,'DP və TP'!$X:$X,"Tam icra",'DP və TP'!$AD:$AD,"&lt;=1")</f>
        <v>0</v>
      </c>
      <c r="E16" s="37">
        <f>COUNTIFS('DP və TP'!$B:$B,B16,
'DP və TP'!$X:$X,"Qismən icra",'DP və TP'!$AD:$AD,"&lt;=1")</f>
        <v>0</v>
      </c>
      <c r="F16" s="37">
        <f>COUNTIFS('DP və TP'!$B:$B,B16,
'DP və TP'!$X:$X,"İcra müddətinə var",'DP və TP'!$AD:$AD,"&lt;=1")</f>
        <v>2</v>
      </c>
      <c r="G16" s="37">
        <f>COUNTIFS('DP və TP'!$B:$B,B16,
'DP və TP'!$X:$X,"Gecikmə",'DP və TP'!$AD:$AD,"&lt;=1")</f>
        <v>2</v>
      </c>
      <c r="H16" s="37">
        <f>COUNTIFS('DP və TP'!$B:$B,B16,
'DP və TP'!$X:$X,"İcra olunmayıb",'DP və TP'!$AD:$AD,"&lt;=1")</f>
        <v>0</v>
      </c>
      <c r="I16" s="37">
        <f>COUNTIFS('DP və TP'!$B:$B,B16,
'DP və TP'!$X:$X,"İcra olunmayıb, prioritet deyil",'DP və TP'!$AD:$AD,"&lt;=1")</f>
        <v>0</v>
      </c>
      <c r="J16" s="33">
        <f>COUNTIFS('DP və TP'!$B:$B,B16,
'DP və TP'!$K:$K,"Tapşırıqların İcrasına Nəzarət platforması üzrə",
'DP və TP'!$X:$X,"Tam icra",'DP və TP'!$AD:$AD,"&lt;=1")</f>
        <v>0</v>
      </c>
      <c r="K16" s="33">
        <f>COUNTIFS('DP və TP'!$B:$B,B16,
'DP və TP'!$K:$K,"Tapşırıqların İcrasına Nəzarət platforması üzrə",
'DP və TP'!$X:$X,"Qismən icra",'DP və TP'!$AD:$AD,"&lt;=1")</f>
        <v>0</v>
      </c>
      <c r="L16" s="33">
        <f>COUNTIFS('DP və TP'!$B:$B,B16,
'DP və TP'!$K:$K,"Tapşırıqların İcrasına Nəzarət platforması üzrə",
'DP və TP'!$X:$X,"İcra müddətinə var",'DP və TP'!$AD:$AD,"&lt;=1")</f>
        <v>0</v>
      </c>
      <c r="M16" s="33">
        <f>COUNTIFS('DP və TP'!$B:$B,B16,
'DP və TP'!$K:$K,"Tapşırıqların İcrasına Nəzarət platforması üzrə",
'DP və TP'!$X:$X,"Gecikmə",'DP və TP'!$AD:$AD,"&lt;=1")</f>
        <v>0</v>
      </c>
      <c r="N16" s="33">
        <f>COUNTIFS('DP və TP'!$B:$B,B16,
'DP və TP'!$K:$K,"Tapşırıqların İcrasına Nəzarət platforması üzrə",
'DP və TP'!$X:$X,"İcra olunmayıb",'DP və TP'!$AD:$AD,"&lt;=1")</f>
        <v>0</v>
      </c>
      <c r="O16" s="34">
        <f>COUNTIFS('DP və TP'!$B:$B,B16,
'DP və TP'!$K:$K,"Tapşırıqların İcrasına Nəzarət platforması üzrə",
'DP və TP'!$X:$X,"İcra olunmayıb, prioritet deyil",'DP və TP'!$AD:$AD,"&lt;=1")</f>
        <v>0</v>
      </c>
      <c r="P16" s="40">
        <f t="shared" si="0"/>
        <v>0</v>
      </c>
    </row>
    <row r="17" spans="1:16" ht="35.25" customHeight="1" x14ac:dyDescent="0.3">
      <c r="A17" s="22">
        <v>7</v>
      </c>
      <c r="B17" s="44" t="s">
        <v>412</v>
      </c>
      <c r="C17" s="24">
        <f>COUNTIFS('DP və TP'!$B:$B,B17,'DP və TP'!$AD:$AD,"&lt;=1")</f>
        <v>3</v>
      </c>
      <c r="D17" s="31">
        <f>COUNTIFS('DP və TP'!$B:$B,B17,'DP və TP'!$X:$X,"Tam icra",'DP və TP'!$AD:$AD,"&lt;=1")</f>
        <v>3</v>
      </c>
      <c r="E17" s="32">
        <f>COUNTIFS('DP və TP'!$B:$B,B17,
'DP və TP'!$X:$X,"Qismən icra",'DP və TP'!$AD:$AD,"&lt;=1")</f>
        <v>0</v>
      </c>
      <c r="F17" s="32">
        <f>COUNTIFS('DP və TP'!$B:$B,B17,
'DP və TP'!$X:$X,"İcra müddətinə var",'DP və TP'!$AD:$AD,"&lt;=1")</f>
        <v>0</v>
      </c>
      <c r="G17" s="32">
        <f>COUNTIFS('DP və TP'!$B:$B,B17,
'DP və TP'!$X:$X,"Gecikmə",'DP və TP'!$AD:$AD,"&lt;=1")</f>
        <v>0</v>
      </c>
      <c r="H17" s="32">
        <f>COUNTIFS('DP və TP'!$B:$B,B17,
'DP və TP'!$X:$X,"İcra olunmayıb",'DP və TP'!$AD:$AD,"&lt;=1")</f>
        <v>0</v>
      </c>
      <c r="I17" s="32">
        <f>COUNTIFS('DP və TP'!$B:$B,B17,
'DP və TP'!$X:$X,"İcra olunmayıb, prioritet deyil",'DP və TP'!$AD:$AD,"&lt;=1")</f>
        <v>0</v>
      </c>
      <c r="J17" s="33">
        <f>COUNTIFS('DP və TP'!$B:$B,B17,
'DP və TP'!$K:$K,"Tapşırıqların İcrasına Nəzarət platforması üzrə",
'DP və TP'!$X:$X,"Tam icra",'DP və TP'!$AD:$AD,"&lt;=1")</f>
        <v>2</v>
      </c>
      <c r="K17" s="33">
        <f>COUNTIFS('DP və TP'!$B:$B,B17,
'DP və TP'!$K:$K,"Tapşırıqların İcrasına Nəzarət platforması üzrə",
'DP və TP'!$X:$X,"Qismən icra",'DP və TP'!$AD:$AD,"&lt;=1")</f>
        <v>0</v>
      </c>
      <c r="L17" s="33">
        <f>COUNTIFS('DP və TP'!$B:$B,B17,
'DP və TP'!$K:$K,"Tapşırıqların İcrasına Nəzarət platforması üzrə",
'DP və TP'!$X:$X,"İcra müddətinə var",'DP və TP'!$AD:$AD,"&lt;=1")</f>
        <v>0</v>
      </c>
      <c r="M17" s="33">
        <f>COUNTIFS('DP və TP'!$B:$B,B17,
'DP və TP'!$K:$K,"Tapşırıqların İcrasına Nəzarət platforması üzrə",
'DP və TP'!$X:$X,"Gecikmə",'DP və TP'!$AD:$AD,"&lt;=1")</f>
        <v>0</v>
      </c>
      <c r="N17" s="33">
        <f>COUNTIFS('DP və TP'!$B:$B,B17,
'DP və TP'!$K:$K,"Tapşırıqların İcrasına Nəzarət platforması üzrə",
'DP və TP'!$X:$X,"İcra olunmayıb",'DP və TP'!$AD:$AD,"&lt;=1")</f>
        <v>0</v>
      </c>
      <c r="O17" s="34">
        <f>COUNTIFS('DP və TP'!$B:$B,B17,
'DP və TP'!$K:$K,"Tapşırıqların İcrasına Nəzarət platforması üzrə",
'DP və TP'!$X:$X,"İcra olunmayıb, prioritet deyil",'DP və TP'!$AD:$AD,"&lt;=1")</f>
        <v>0</v>
      </c>
      <c r="P17" s="40">
        <f t="shared" si="0"/>
        <v>2</v>
      </c>
    </row>
    <row r="18" spans="1:16" ht="49.5" customHeight="1" x14ac:dyDescent="0.3">
      <c r="A18" s="22">
        <v>8</v>
      </c>
      <c r="B18" s="23" t="s">
        <v>341</v>
      </c>
      <c r="C18" s="35">
        <f>COUNTIFS('DP və TP'!$B:$B,B18,'DP və TP'!$AD:$AD,"&lt;=1")</f>
        <v>1</v>
      </c>
      <c r="D18" s="42">
        <f>COUNTIFS('DP və TP'!$B:$B,B18,'DP və TP'!$X:$X,"Tam icra",'DP və TP'!$AD:$AD,"&lt;=1")</f>
        <v>0</v>
      </c>
      <c r="E18" s="27">
        <f>COUNTIFS('DP və TP'!$B:$B,B18,
'DP və TP'!$X:$X,"Qismən icra",'DP və TP'!$AD:$AD,"&lt;=1")</f>
        <v>0</v>
      </c>
      <c r="F18" s="27">
        <f>COUNTIFS('DP və TP'!$B:$B,B18,
'DP və TP'!$X:$X,"İcra müddətinə var",'DP və TP'!$AD:$AD,"&lt;=1")</f>
        <v>0</v>
      </c>
      <c r="G18" s="27">
        <f>COUNTIFS('DP və TP'!$B:$B,B18,
'DP və TP'!$X:$X,"Gecikmə",'DP və TP'!$AD:$AD,"&lt;=1")</f>
        <v>0</v>
      </c>
      <c r="H18" s="27">
        <f>COUNTIFS('DP və TP'!$B:$B,B18,
'DP və TP'!$X:$X,"İcra olunmayıb",'DP və TP'!$AD:$AD,"&lt;=1")</f>
        <v>0</v>
      </c>
      <c r="I18" s="27">
        <f>COUNTIFS('DP və TP'!$B:$B,B18,
'DP və TP'!$X:$X,"İcra olunmayıb, prioritet deyil",'DP və TP'!$AD:$AD,"&lt;=1")</f>
        <v>1</v>
      </c>
      <c r="J18" s="33">
        <f>COUNTIFS('DP və TP'!$B:$B,B18,
'DP və TP'!$K:$K,"Tapşırıqların İcrasına Nəzarət platforması üzrə",
'DP və TP'!$X:$X,"Tam icra",'DP və TP'!$AD:$AD,"&lt;=1")</f>
        <v>0</v>
      </c>
      <c r="K18" s="33">
        <f>COUNTIFS('DP və TP'!$B:$B,B18,
'DP və TP'!$K:$K,"Tapşırıqların İcrasına Nəzarət platforması üzrə",
'DP və TP'!$X:$X,"Qismən icra",'DP və TP'!$AD:$AD,"&lt;=1")</f>
        <v>0</v>
      </c>
      <c r="L18" s="33">
        <f>COUNTIFS('DP və TP'!$B:$B,B18,
'DP və TP'!$K:$K,"Tapşırıqların İcrasına Nəzarət platforması üzrə",
'DP və TP'!$X:$X,"İcra müddətinə var",'DP və TP'!$AD:$AD,"&lt;=1")</f>
        <v>0</v>
      </c>
      <c r="M18" s="33">
        <f>COUNTIFS('DP və TP'!$B:$B,B18,
'DP və TP'!$K:$K,"Tapşırıqların İcrasına Nəzarət platforması üzrə",
'DP və TP'!$X:$X,"Gecikmə",'DP və TP'!$AD:$AD,"&lt;=1")</f>
        <v>0</v>
      </c>
      <c r="N18" s="33">
        <f>COUNTIFS('DP və TP'!$B:$B,B18,
'DP və TP'!$K:$K,"Tapşırıqların İcrasına Nəzarət platforması üzrə",
'DP və TP'!$X:$X,"İcra olunmayıb",'DP və TP'!$AD:$AD,"&lt;=1")</f>
        <v>0</v>
      </c>
      <c r="O18" s="34">
        <f>COUNTIFS('DP və TP'!$B:$B,B18,
'DP və TP'!$K:$K,"Tapşırıqların İcrasına Nəzarət platforması üzrə",
'DP və TP'!$X:$X,"İcra olunmayıb, prioritet deyil",'DP və TP'!$AD:$AD,"&lt;=1")</f>
        <v>0</v>
      </c>
      <c r="P18" s="40">
        <f t="shared" si="0"/>
        <v>0</v>
      </c>
    </row>
    <row r="19" spans="1:16" ht="36" customHeight="1" x14ac:dyDescent="0.3">
      <c r="A19" s="22">
        <v>9</v>
      </c>
      <c r="B19" s="23" t="s">
        <v>426</v>
      </c>
      <c r="C19" s="41">
        <f>COUNTIFS('DP və TP'!$B:$B,B19,'DP və TP'!$AD:$AD,"&lt;=1")</f>
        <v>1</v>
      </c>
      <c r="D19" s="36">
        <f>COUNTIFS('DP və TP'!$B:$B,B19,'DP və TP'!$X:$X,"Tam icra",'DP və TP'!$AD:$AD,"&lt;=1")</f>
        <v>0</v>
      </c>
      <c r="E19" s="37">
        <f>COUNTIFS('DP və TP'!$B:$B,B19,
'DP və TP'!$X:$X,"Qismən icra",'DP və TP'!$AD:$AD,"&lt;=1")</f>
        <v>0</v>
      </c>
      <c r="F19" s="37">
        <f>COUNTIFS('DP və TP'!$B:$B,B19,
'DP və TP'!$X:$X,"İcra müddətinə var",'DP və TP'!$AD:$AD,"&lt;=1")</f>
        <v>0</v>
      </c>
      <c r="G19" s="37">
        <f>COUNTIFS('DP və TP'!$B:$B,B19,
'DP və TP'!$X:$X,"Gecikmə",'DP və TP'!$AD:$AD,"&lt;=1")</f>
        <v>0</v>
      </c>
      <c r="H19" s="37">
        <f>COUNTIFS('DP və TP'!$B:$B,B19,
'DP və TP'!$X:$X,"İcra olunmayıb",'DP və TP'!$AD:$AD,"&lt;=1")</f>
        <v>1</v>
      </c>
      <c r="I19" s="37">
        <f>COUNTIFS('DP və TP'!$B:$B,B19,
'DP və TP'!$X:$X,"İcra olunmayıb, prioritet deyil",'DP və TP'!$AD:$AD,"&lt;=1")</f>
        <v>0</v>
      </c>
      <c r="J19" s="33">
        <f>COUNTIFS('DP və TP'!$B:$B,B19,
'DP və TP'!$K:$K,"Tapşırıqların İcrasına Nəzarət platforması üzrə",
'DP və TP'!$X:$X,"Tam icra",'DP və TP'!$AD:$AD,"&lt;=1")</f>
        <v>0</v>
      </c>
      <c r="K19" s="33">
        <f>COUNTIFS('DP və TP'!$B:$B,B19,
'DP və TP'!$K:$K,"Tapşırıqların İcrasına Nəzarət platforması üzrə",
'DP və TP'!$X:$X,"Qismən icra",'DP və TP'!$AD:$AD,"&lt;=1")</f>
        <v>0</v>
      </c>
      <c r="L19" s="33">
        <f>COUNTIFS('DP və TP'!$B:$B,B19,
'DP və TP'!$K:$K,"Tapşırıqların İcrasına Nəzarət platforması üzrə",
'DP və TP'!$X:$X,"İcra müddətinə var",'DP və TP'!$AD:$AD,"&lt;=1")</f>
        <v>0</v>
      </c>
      <c r="M19" s="33">
        <f>COUNTIFS('DP və TP'!$B:$B,B19,
'DP və TP'!$K:$K,"Tapşırıqların İcrasına Nəzarət platforması üzrə",
'DP və TP'!$X:$X,"Gecikmə",'DP və TP'!$AD:$AD,"&lt;=1")</f>
        <v>0</v>
      </c>
      <c r="N19" s="33">
        <f>COUNTIFS('DP və TP'!$B:$B,B19,
'DP və TP'!$K:$K,"Tapşırıqların İcrasına Nəzarət platforması üzrə",
'DP və TP'!$X:$X,"İcra olunmayıb",'DP və TP'!$AD:$AD,"&lt;=1")</f>
        <v>1</v>
      </c>
      <c r="O19" s="34">
        <f>COUNTIFS('DP və TP'!$B:$B,B19,
'DP və TP'!$K:$K,"Tapşırıqların İcrasına Nəzarət platforması üzrə",
'DP və TP'!$X:$X,"İcra olunmayıb, prioritet deyil",'DP və TP'!$AD:$AD,"&lt;=1")</f>
        <v>0</v>
      </c>
      <c r="P19" s="43">
        <f t="shared" si="0"/>
        <v>1</v>
      </c>
    </row>
    <row r="20" spans="1:16" ht="34.5" customHeight="1" x14ac:dyDescent="0.3">
      <c r="A20" s="22">
        <v>10</v>
      </c>
      <c r="B20" s="44" t="s">
        <v>398</v>
      </c>
      <c r="C20" s="35">
        <f>COUNTIFS('DP və TP'!$B:$B,B20,'DP və TP'!$AD:$AD,"&lt;=1")</f>
        <v>3</v>
      </c>
      <c r="D20" s="31">
        <f>COUNTIFS('DP və TP'!$B:$B,B20,'DP və TP'!$X:$X,"Tam icra",'DP və TP'!$AD:$AD,"&lt;=1")</f>
        <v>0</v>
      </c>
      <c r="E20" s="32">
        <f>COUNTIFS('DP və TP'!$B:$B,B20,
'DP və TP'!$X:$X,"Qismən icra",'DP və TP'!$AD:$AD,"&lt;=1")</f>
        <v>0</v>
      </c>
      <c r="F20" s="32">
        <f>COUNTIFS('DP və TP'!$B:$B,B20,
'DP və TP'!$X:$X,"İcra müddətinə var",'DP və TP'!$AD:$AD,"&lt;=1")</f>
        <v>2</v>
      </c>
      <c r="G20" s="32">
        <f>COUNTIFS('DP və TP'!$B:$B,B20,
'DP və TP'!$X:$X,"Gecikmə",'DP və TP'!$AD:$AD,"&lt;=1")</f>
        <v>1</v>
      </c>
      <c r="H20" s="32">
        <f>COUNTIFS('DP və TP'!$B:$B,B20,
'DP və TP'!$X:$X,"İcra olunmayıb",'DP və TP'!$AD:$AD,"&lt;=1")</f>
        <v>0</v>
      </c>
      <c r="I20" s="32">
        <f>COUNTIFS('DP və TP'!$B:$B,B20,
'DP və TP'!$X:$X,"İcra olunmayıb, prioritet deyil",'DP və TP'!$AD:$AD,"&lt;=1")</f>
        <v>0</v>
      </c>
      <c r="J20" s="33">
        <f>COUNTIFS('DP və TP'!$B:$B,B20,
'DP və TP'!$K:$K,"Tapşırıqların İcrasına Nəzarət platforması üzrə",
'DP və TP'!$X:$X,"Tam icra",'DP və TP'!$AD:$AD,"&lt;=1")</f>
        <v>0</v>
      </c>
      <c r="K20" s="33">
        <f>COUNTIFS('DP və TP'!$B:$B,B20,
'DP və TP'!$K:$K,"Tapşırıqların İcrasına Nəzarət platforması üzrə",
'DP və TP'!$X:$X,"Qismən icra",'DP və TP'!$AD:$AD,"&lt;=1")</f>
        <v>0</v>
      </c>
      <c r="L20" s="33">
        <f>COUNTIFS('DP və TP'!$B:$B,B20,
'DP və TP'!$K:$K,"Tapşırıqların İcrasına Nəzarət platforması üzrə",
'DP və TP'!$X:$X,"İcra müddətinə var",'DP və TP'!$AD:$AD,"&lt;=1")</f>
        <v>2</v>
      </c>
      <c r="M20" s="33">
        <f>COUNTIFS('DP və TP'!$B:$B,B20,
'DP və TP'!$K:$K,"Tapşırıqların İcrasına Nəzarət platforması üzrə",
'DP və TP'!$X:$X,"Gecikmə",'DP və TP'!$AD:$AD,"&lt;=1")</f>
        <v>1</v>
      </c>
      <c r="N20" s="33">
        <f>COUNTIFS('DP və TP'!$B:$B,B20,
'DP və TP'!$K:$K,"Tapşırıqların İcrasına Nəzarət platforması üzrə",
'DP və TP'!$X:$X,"İcra olunmayıb",'DP və TP'!$AD:$AD,"&lt;=1")</f>
        <v>0</v>
      </c>
      <c r="O20" s="34">
        <f>COUNTIFS('DP və TP'!$B:$B,B20,
'DP və TP'!$K:$K,"Tapşırıqların İcrasına Nəzarət platforması üzrə",
'DP və TP'!$X:$X,"İcra olunmayıb, prioritet deyil",'DP və TP'!$AD:$AD,"&lt;=1")</f>
        <v>0</v>
      </c>
      <c r="P20" s="30">
        <f t="shared" si="0"/>
        <v>3</v>
      </c>
    </row>
    <row r="21" spans="1:16" ht="39" customHeight="1" x14ac:dyDescent="0.3">
      <c r="A21" s="22">
        <v>11</v>
      </c>
      <c r="B21" s="44" t="s">
        <v>535</v>
      </c>
      <c r="C21" s="41">
        <f>COUNTIFS('DP və TP'!$B:$B,B21,'DP və TP'!$AD:$AD,"&lt;=1")</f>
        <v>3</v>
      </c>
      <c r="D21" s="42">
        <f>COUNTIFS('DP və TP'!$B:$B,B21,'DP və TP'!$X:$X,"Tam icra",'DP və TP'!$AD:$AD,"&lt;=1")</f>
        <v>0</v>
      </c>
      <c r="E21" s="27">
        <f>COUNTIFS('DP və TP'!$B:$B,B21,
'DP və TP'!$X:$X,"Qismən icra",'DP və TP'!$AD:$AD,"&lt;=1")</f>
        <v>1</v>
      </c>
      <c r="F21" s="27">
        <f>COUNTIFS('DP və TP'!$B:$B,B21,
'DP və TP'!$X:$X,"İcra müddətinə var",'DP və TP'!$AD:$AD,"&lt;=1")</f>
        <v>2</v>
      </c>
      <c r="G21" s="27">
        <f>COUNTIFS('DP və TP'!$B:$B,B21,
'DP və TP'!$X:$X,"Gecikmə",'DP və TP'!$AD:$AD,"&lt;=1")</f>
        <v>0</v>
      </c>
      <c r="H21" s="27">
        <f>COUNTIFS('DP və TP'!$B:$B,B21,
'DP və TP'!$X:$X,"İcra olunmayıb",'DP və TP'!$AD:$AD,"&lt;=1")</f>
        <v>0</v>
      </c>
      <c r="I21" s="27">
        <f>COUNTIFS('DP və TP'!$B:$B,B21,
'DP və TP'!$X:$X,"İcra olunmayıb, prioritet deyil",'DP və TP'!$AD:$AD,"&lt;=1")</f>
        <v>0</v>
      </c>
      <c r="J21" s="33">
        <f>COUNTIFS('DP və TP'!$B:$B,B21,
'DP və TP'!$K:$K,"Tapşırıqların İcrasına Nəzarət platforması üzrə",
'DP və TP'!$X:$X,"Tam icra",'DP və TP'!$AD:$AD,"&lt;=1")</f>
        <v>0</v>
      </c>
      <c r="K21" s="33">
        <f>COUNTIFS('DP və TP'!$B:$B,B21,
'DP və TP'!$K:$K,"Tapşırıqların İcrasına Nəzarət platforması üzrə",
'DP və TP'!$X:$X,"Qismən icra",'DP və TP'!$AD:$AD,"&lt;=1")</f>
        <v>0</v>
      </c>
      <c r="L21" s="33">
        <f>COUNTIFS('DP və TP'!$B:$B,B21,
'DP və TP'!$K:$K,"Tapşırıqların İcrasına Nəzarət platforması üzrə",
'DP və TP'!$X:$X,"İcra müddətinə var",'DP və TP'!$AD:$AD,"&lt;=1")</f>
        <v>0</v>
      </c>
      <c r="M21" s="33">
        <f>COUNTIFS('DP və TP'!$B:$B,B21,
'DP və TP'!$K:$K,"Tapşırıqların İcrasına Nəzarət platforması üzrə",
'DP və TP'!$X:$X,"Gecikmə",'DP və TP'!$AD:$AD,"&lt;=1")</f>
        <v>0</v>
      </c>
      <c r="N21" s="33">
        <f>COUNTIFS('DP və TP'!$B:$B,B21,
'DP və TP'!$K:$K,"Tapşırıqların İcrasına Nəzarət platforması üzrə",
'DP və TP'!$X:$X,"İcra olunmayıb",'DP və TP'!$AD:$AD,"&lt;=1")</f>
        <v>0</v>
      </c>
      <c r="O21" s="34">
        <f>COUNTIFS('DP və TP'!$B:$B,B21,
'DP və TP'!$K:$K,"Tapşırıqların İcrasına Nəzarət platforması üzrə",
'DP və TP'!$X:$X,"İcra olunmayıb, prioritet deyil",'DP və TP'!$AD:$AD,"&lt;=1")</f>
        <v>0</v>
      </c>
      <c r="P21" s="30"/>
    </row>
    <row r="22" spans="1:16" ht="39" customHeight="1" x14ac:dyDescent="0.3">
      <c r="A22" s="22">
        <v>12</v>
      </c>
      <c r="B22" s="23" t="s">
        <v>516</v>
      </c>
      <c r="C22" s="35">
        <f>COUNTIFS('DP və TP'!$B:$B,B22,'DP və TP'!$AD:$AD,"&lt;=1")</f>
        <v>3</v>
      </c>
      <c r="D22" s="36">
        <f>COUNTIFS('DP və TP'!$B:$B,B22,'DP və TP'!$X:$X,"Tam icra",'DP və TP'!$AD:$AD,"&lt;=1")</f>
        <v>1</v>
      </c>
      <c r="E22" s="37">
        <f>COUNTIFS('DP və TP'!$B:$B,B22,
'DP və TP'!$X:$X,"Qismən icra",'DP və TP'!$AD:$AD,"&lt;=1")</f>
        <v>0</v>
      </c>
      <c r="F22" s="37">
        <f>COUNTIFS('DP və TP'!$B:$B,B22,
'DP və TP'!$X:$X,"İcra müddətinə var",'DP və TP'!$AD:$AD,"&lt;=1")</f>
        <v>1</v>
      </c>
      <c r="G22" s="37">
        <f>COUNTIFS('DP və TP'!$B:$B,B22,
'DP və TP'!$X:$X,"Gecikmə",'DP və TP'!$AD:$AD,"&lt;=1")</f>
        <v>0</v>
      </c>
      <c r="H22" s="37">
        <f>COUNTIFS('DP və TP'!$B:$B,B22,
'DP və TP'!$X:$X,"İcra olunmayıb",'DP və TP'!$AD:$AD,"&lt;=1")</f>
        <v>0</v>
      </c>
      <c r="I22" s="37">
        <f>COUNTIFS('DP və TP'!$B:$B,B22,
'DP və TP'!$X:$X,"İcra olunmayıb, prioritet deyil",'DP və TP'!$AD:$AD,"&lt;=1")</f>
        <v>1</v>
      </c>
      <c r="J22" s="33">
        <f>COUNTIFS('DP və TP'!$B:$B,B22,
'DP və TP'!$K:$K,"Tapşırıqların İcrasına Nəzarət platforması üzrə",
'DP və TP'!$X:$X,"Tam icra",'DP və TP'!$AD:$AD,"&lt;=1")</f>
        <v>0</v>
      </c>
      <c r="K22" s="33">
        <f>COUNTIFS('DP və TP'!$B:$B,B22,
'DP və TP'!$K:$K,"Tapşırıqların İcrasına Nəzarət platforması üzrə",
'DP və TP'!$X:$X,"Qismən icra",'DP və TP'!$AD:$AD,"&lt;=1")</f>
        <v>0</v>
      </c>
      <c r="L22" s="33">
        <f>COUNTIFS('DP və TP'!$B:$B,B22,
'DP və TP'!$K:$K,"Tapşırıqların İcrasına Nəzarət platforması üzrə",
'DP və TP'!$X:$X,"İcra müddətinə var",'DP və TP'!$AD:$AD,"&lt;=1")</f>
        <v>0</v>
      </c>
      <c r="M22" s="33">
        <f>COUNTIFS('DP və TP'!$B:$B,B22,
'DP və TP'!$K:$K,"Tapşırıqların İcrasına Nəzarət platforması üzrə",
'DP və TP'!$X:$X,"Gecikmə",'DP və TP'!$AD:$AD,"&lt;=1")</f>
        <v>0</v>
      </c>
      <c r="N22" s="33">
        <f>COUNTIFS('DP və TP'!$B:$B,B22,
'DP və TP'!$K:$K,"Tapşırıqların İcrasına Nəzarət platforması üzrə",
'DP və TP'!$X:$X,"İcra olunmayıb",'DP və TP'!$AD:$AD,"&lt;=1")</f>
        <v>0</v>
      </c>
      <c r="O22" s="34">
        <f>COUNTIFS('DP və TP'!$B:$B,B22,
'DP və TP'!$K:$K,"Tapşırıqların İcrasına Nəzarət platforması üzrə",
'DP və TP'!$X:$X,"İcra olunmayıb, prioritet deyil",'DP və TP'!$AD:$AD,"&lt;=1")</f>
        <v>0</v>
      </c>
      <c r="P22" s="30"/>
    </row>
    <row r="23" spans="1:16" ht="22.5" customHeight="1" x14ac:dyDescent="0.3">
      <c r="A23" s="22">
        <v>13</v>
      </c>
      <c r="B23" s="23" t="s">
        <v>429</v>
      </c>
      <c r="C23" s="41">
        <f>COUNTIFS('DP və TP'!$B:$B,B23,'DP və TP'!$AD:$AD,"&lt;=1")</f>
        <v>2</v>
      </c>
      <c r="D23" s="31">
        <f>COUNTIFS('DP və TP'!$B:$B,B23,'DP və TP'!$X:$X,"Tam icra",'DP və TP'!$AD:$AD,"&lt;=1")</f>
        <v>0</v>
      </c>
      <c r="E23" s="32">
        <f>COUNTIFS('DP və TP'!$B:$B,B23,
'DP və TP'!$X:$X,"Qismən icra",'DP və TP'!$AD:$AD,"&lt;=1")</f>
        <v>0</v>
      </c>
      <c r="F23" s="32">
        <f>COUNTIFS('DP və TP'!$B:$B,B23,
'DP və TP'!$X:$X,"İcra müddətinə var",'DP və TP'!$AD:$AD,"&lt;=1")</f>
        <v>1</v>
      </c>
      <c r="G23" s="32">
        <f>COUNTIFS('DP və TP'!$B:$B,B23,
'DP və TP'!$X:$X,"Gecikmə",'DP və TP'!$AD:$AD,"&lt;=1")</f>
        <v>1</v>
      </c>
      <c r="H23" s="32">
        <f>COUNTIFS('DP və TP'!$B:$B,B23,
'DP və TP'!$X:$X,"İcra olunmayıb",'DP və TP'!$AD:$AD,"&lt;=1")</f>
        <v>0</v>
      </c>
      <c r="I23" s="32">
        <f>COUNTIFS('DP və TP'!$B:$B,B23,
'DP və TP'!$X:$X,"İcra olunmayıb, prioritet deyil",'DP və TP'!$AD:$AD,"&lt;=1")</f>
        <v>0</v>
      </c>
      <c r="J23" s="33">
        <f>COUNTIFS('DP və TP'!$B:$B,B23,
'DP və TP'!$K:$K,"Tapşırıqların İcrasına Nəzarət platforması üzrə",
'DP və TP'!$X:$X,"Tam icra",'DP və TP'!$AD:$AD,"&lt;=1")</f>
        <v>0</v>
      </c>
      <c r="K23" s="33">
        <f>COUNTIFS('DP və TP'!$B:$B,B23,
'DP və TP'!$K:$K,"Tapşırıqların İcrasına Nəzarət platforması üzrə",
'DP və TP'!$X:$X,"Qismən icra",'DP və TP'!$AD:$AD,"&lt;=1")</f>
        <v>0</v>
      </c>
      <c r="L23" s="33">
        <f>COUNTIFS('DP və TP'!$B:$B,B23,
'DP və TP'!$K:$K,"Tapşırıqların İcrasına Nəzarət platforması üzrə",
'DP və TP'!$X:$X,"İcra müddətinə var",'DP və TP'!$AD:$AD,"&lt;=1")</f>
        <v>0</v>
      </c>
      <c r="M23" s="33">
        <f>COUNTIFS('DP və TP'!$B:$B,B23,
'DP və TP'!$K:$K,"Tapşırıqların İcrasına Nəzarət platforması üzrə",
'DP və TP'!$X:$X,"Gecikmə",'DP və TP'!$AD:$AD,"&lt;=1")</f>
        <v>0</v>
      </c>
      <c r="N23" s="33">
        <f>COUNTIFS('DP və TP'!$B:$B,B23,
'DP və TP'!$K:$K,"Tapşırıqların İcrasına Nəzarət platforması üzrə",
'DP və TP'!$X:$X,"İcra olunmayıb",'DP və TP'!$AD:$AD,"&lt;=1")</f>
        <v>0</v>
      </c>
      <c r="O23" s="34">
        <f>COUNTIFS('DP və TP'!$B:$B,B23,
'DP və TP'!$K:$K,"Tapşırıqların İcrasına Nəzarət platforması üzrə",
'DP və TP'!$X:$X,"İcra olunmayıb, prioritet deyil",'DP və TP'!$AD:$AD,"&lt;=1")</f>
        <v>0</v>
      </c>
      <c r="P23" s="30">
        <f t="shared" ref="P23:P33" si="1">SUM(J23:O23)</f>
        <v>0</v>
      </c>
    </row>
    <row r="24" spans="1:16" ht="38.25" customHeight="1" x14ac:dyDescent="0.3">
      <c r="A24" s="22">
        <v>14</v>
      </c>
      <c r="B24" s="23" t="s">
        <v>161</v>
      </c>
      <c r="C24" s="24">
        <f>COUNTIFS('DP və TP'!$B:$B,B24,'DP və TP'!$AD:$AD,"&lt;=1")</f>
        <v>16</v>
      </c>
      <c r="D24" s="36">
        <f>COUNTIFS('DP və TP'!$B:$B,B24,'DP və TP'!$X:$X,"Tam icra",'DP və TP'!$AD:$AD,"&lt;=1")</f>
        <v>7</v>
      </c>
      <c r="E24" s="27">
        <f>COUNTIFS('DP və TP'!$B:$B,B24,
'DP və TP'!$X:$X,"Qismən icra",'DP və TP'!$AD:$AD,"&lt;=1")</f>
        <v>3</v>
      </c>
      <c r="F24" s="27">
        <f>COUNTIFS('DP və TP'!$B:$B,B24,
'DP və TP'!$X:$X,"İcra müddətinə var",'DP və TP'!$AD:$AD,"&lt;=1")</f>
        <v>3</v>
      </c>
      <c r="G24" s="37">
        <f>COUNTIFS('DP və TP'!$B:$B,B24,
'DP və TP'!$X:$X,"Gecikmə",'DP və TP'!$AD:$AD,"&lt;=1")</f>
        <v>1</v>
      </c>
      <c r="H24" s="37">
        <f>COUNTIFS('DP və TP'!$B:$B,B24,
'DP və TP'!$X:$X,"İcra olunmayıb",'DP və TP'!$AD:$AD,"&lt;=1")</f>
        <v>0</v>
      </c>
      <c r="I24" s="37">
        <f>COUNTIFS('DP və TP'!$B:$B,B24,
'DP və TP'!$X:$X,"İcra olunmayıb, prioritet deyil",'DP və TP'!$AD:$AD,"&lt;=1")</f>
        <v>2</v>
      </c>
      <c r="J24" s="33">
        <f>COUNTIFS('DP və TP'!$B:$B,B24,
'DP və TP'!$K:$K,"Tapşırıqların İcrasına Nəzarət platforması üzrə",
'DP və TP'!$X:$X,"Tam icra",'DP və TP'!$AD:$AD,"&lt;=1")</f>
        <v>3</v>
      </c>
      <c r="K24" s="33">
        <f>COUNTIFS('DP və TP'!$B:$B,B24,
'DP və TP'!$K:$K,"Tapşırıqların İcrasına Nəzarət platforması üzrə",
'DP və TP'!$X:$X,"Qismən icra",'DP və TP'!$AD:$AD,"&lt;=1")</f>
        <v>2</v>
      </c>
      <c r="L24" s="33">
        <f>COUNTIFS('DP və TP'!$B:$B,B24,
'DP və TP'!$K:$K,"Tapşırıqların İcrasına Nəzarət platforması üzrə",
'DP və TP'!$X:$X,"İcra müddətinə var",'DP və TP'!$AD:$AD,"&lt;=1")</f>
        <v>0</v>
      </c>
      <c r="M24" s="33">
        <f>COUNTIFS('DP və TP'!$B:$B,B24,
'DP və TP'!$K:$K,"Tapşırıqların İcrasına Nəzarət platforması üzrə",
'DP və TP'!$X:$X,"Gecikmə",'DP və TP'!$AD:$AD,"&lt;=1")</f>
        <v>1</v>
      </c>
      <c r="N24" s="33">
        <f>COUNTIFS('DP və TP'!$B:$B,B24,
'DP və TP'!$K:$K,"Tapşırıqların İcrasına Nəzarət platforması üzrə",
'DP və TP'!$X:$X,"İcra olunmayıb",'DP və TP'!$AD:$AD,"&lt;=1")</f>
        <v>0</v>
      </c>
      <c r="O24" s="34">
        <f>COUNTIFS('DP və TP'!$B:$B,B24,
'DP və TP'!$K:$K,"Tapşırıqların İcrasına Nəzarət platforması üzrə",
'DP və TP'!$X:$X,"İcra olunmayıb, prioritet deyil",'DP və TP'!$AD:$AD,"&lt;=1")</f>
        <v>1</v>
      </c>
      <c r="P24" s="43">
        <f t="shared" si="1"/>
        <v>7</v>
      </c>
    </row>
    <row r="25" spans="1:16" ht="36.75" customHeight="1" x14ac:dyDescent="0.3">
      <c r="A25" s="22">
        <v>15</v>
      </c>
      <c r="B25" s="23" t="s">
        <v>509</v>
      </c>
      <c r="C25" s="35">
        <f>COUNTIFS('DP və TP'!$B:$B,B25,'DP və TP'!$AD:$AD,"&lt;=1")</f>
        <v>1</v>
      </c>
      <c r="D25" s="31">
        <f>COUNTIFS('DP və TP'!$B:$B,B25,'DP və TP'!$X:$X,"Tam icra",'DP və TP'!$AD:$AD,"&lt;=1")</f>
        <v>0</v>
      </c>
      <c r="E25" s="37">
        <f>COUNTIFS('DP və TP'!$B:$B,B25,
'DP və TP'!$X:$X,"Qismən icra",'DP və TP'!$AD:$AD,"&lt;=1")</f>
        <v>0</v>
      </c>
      <c r="F25" s="37">
        <f>COUNTIFS('DP və TP'!$B:$B,B25,
'DP və TP'!$X:$X,"İcra müddətinə var",'DP və TP'!$AD:$AD,"&lt;=1")</f>
        <v>0</v>
      </c>
      <c r="G25" s="32">
        <f>COUNTIFS('DP və TP'!$B:$B,B25,
'DP və TP'!$X:$X,"Gecikmə",'DP və TP'!$AD:$AD,"&lt;=1")</f>
        <v>0</v>
      </c>
      <c r="H25" s="32">
        <f>COUNTIFS('DP və TP'!$B:$B,B25,
'DP və TP'!$X:$X,"İcra olunmayıb",'DP və TP'!$AD:$AD,"&lt;=1")</f>
        <v>0</v>
      </c>
      <c r="I25" s="32">
        <f>COUNTIFS('DP və TP'!$B:$B,B25,
'DP və TP'!$X:$X,"İcra olunmayıb, prioritet deyil",'DP və TP'!$AD:$AD,"&lt;=1")</f>
        <v>1</v>
      </c>
      <c r="J25" s="33">
        <f>COUNTIFS('DP və TP'!$B:$B,B25,
'DP və TP'!$K:$K,"Tapşırıqların İcrasına Nəzarət platforması üzrə",
'DP və TP'!$X:$X,"Tam icra",'DP və TP'!$AD:$AD,"&lt;=1")</f>
        <v>0</v>
      </c>
      <c r="K25" s="33">
        <f>COUNTIFS('DP və TP'!$B:$B,B25,
'DP və TP'!$K:$K,"Tapşırıqların İcrasına Nəzarət platforması üzrə",
'DP və TP'!$X:$X,"Qismən icra",'DP və TP'!$AD:$AD,"&lt;=1")</f>
        <v>0</v>
      </c>
      <c r="L25" s="33">
        <f>COUNTIFS('DP və TP'!$B:$B,B25,
'DP və TP'!$K:$K,"Tapşırıqların İcrasına Nəzarət platforması üzrə",
'DP və TP'!$X:$X,"İcra müddətinə var",'DP və TP'!$AD:$AD,"&lt;=1")</f>
        <v>0</v>
      </c>
      <c r="M25" s="33">
        <f>COUNTIFS('DP və TP'!$B:$B,B25,
'DP və TP'!$K:$K,"Tapşırıqların İcrasına Nəzarət platforması üzrə",
'DP və TP'!$X:$X,"Gecikmə",'DP və TP'!$AD:$AD,"&lt;=1")</f>
        <v>0</v>
      </c>
      <c r="N25" s="33">
        <f>COUNTIFS('DP və TP'!$B:$B,B25,
'DP və TP'!$K:$K,"Tapşırıqların İcrasına Nəzarət platforması üzrə",
'DP və TP'!$X:$X,"İcra olunmayıb",'DP və TP'!$AD:$AD,"&lt;=1")</f>
        <v>0</v>
      </c>
      <c r="O25" s="34">
        <f>COUNTIFS('DP və TP'!$B:$B,B25,
'DP və TP'!$K:$K,"Tapşırıqların İcrasına Nəzarət platforması üzrə",
'DP və TP'!$X:$X,"İcra olunmayıb, prioritet deyil",'DP və TP'!$AD:$AD,"&lt;=1")</f>
        <v>1</v>
      </c>
      <c r="P25" s="40">
        <f t="shared" si="1"/>
        <v>1</v>
      </c>
    </row>
    <row r="26" spans="1:16" ht="35.25" customHeight="1" x14ac:dyDescent="0.3">
      <c r="A26" s="22">
        <v>16</v>
      </c>
      <c r="B26" s="23" t="s">
        <v>236</v>
      </c>
      <c r="C26" s="35">
        <f>COUNTIFS('DP və TP'!$B:$B,B26,'DP və TP'!$AD:$AD,"&lt;=1")</f>
        <v>8</v>
      </c>
      <c r="D26" s="31">
        <f>COUNTIFS('DP və TP'!$B:$B,B26,'DP və TP'!$X:$X,"Tam icra",'DP və TP'!$AD:$AD,"&lt;=1")</f>
        <v>0</v>
      </c>
      <c r="E26" s="32">
        <f>COUNTIFS('DP və TP'!$B:$B,B26,
'DP və TP'!$X:$X,"Qismən icra",'DP və TP'!$AD:$AD,"&lt;=1")</f>
        <v>0</v>
      </c>
      <c r="F26" s="32">
        <f>COUNTIFS('DP və TP'!$B:$B,B26,
'DP və TP'!$X:$X,"İcra müddətinə var",'DP və TP'!$AD:$AD,"&lt;=1")</f>
        <v>2</v>
      </c>
      <c r="G26" s="32">
        <f>COUNTIFS('DP və TP'!$B:$B,B26,
'DP və TP'!$X:$X,"Gecikmə",'DP və TP'!$AD:$AD,"&lt;=1")</f>
        <v>2</v>
      </c>
      <c r="H26" s="32">
        <f>COUNTIFS('DP və TP'!$B:$B,B26,
'DP və TP'!$X:$X,"İcra olunmayıb",'DP və TP'!$AD:$AD,"&lt;=1")</f>
        <v>0</v>
      </c>
      <c r="I26" s="32">
        <f>COUNTIFS('DP və TP'!$B:$B,B26,
'DP və TP'!$X:$X,"İcra olunmayıb, prioritet deyil",'DP və TP'!$AD:$AD,"&lt;=1")</f>
        <v>4</v>
      </c>
      <c r="J26" s="33">
        <f>COUNTIFS('DP və TP'!$B:$B,B26,
'DP və TP'!$K:$K,"Tapşırıqların İcrasına Nəzarət platforması üzrə",
'DP və TP'!$X:$X,"Tam icra",'DP və TP'!$AD:$AD,"&lt;=1")</f>
        <v>0</v>
      </c>
      <c r="K26" s="33">
        <f>COUNTIFS('DP və TP'!$B:$B,B26,
'DP və TP'!$K:$K,"Tapşırıqların İcrasına Nəzarət platforması üzrə",
'DP və TP'!$X:$X,"Qismən icra",'DP və TP'!$AD:$AD,"&lt;=1")</f>
        <v>0</v>
      </c>
      <c r="L26" s="33">
        <f>COUNTIFS('DP və TP'!$B:$B,B26,
'DP və TP'!$K:$K,"Tapşırıqların İcrasına Nəzarət platforması üzrə",
'DP və TP'!$X:$X,"İcra müddətinə var",'DP və TP'!$AD:$AD,"&lt;=1")</f>
        <v>0</v>
      </c>
      <c r="M26" s="33">
        <f>COUNTIFS('DP və TP'!$B:$B,B26,
'DP və TP'!$K:$K,"Tapşırıqların İcrasına Nəzarət platforması üzrə",
'DP və TP'!$X:$X,"Gecikmə",'DP və TP'!$AD:$AD,"&lt;=1")</f>
        <v>0</v>
      </c>
      <c r="N26" s="33">
        <f>COUNTIFS('DP və TP'!$B:$B,B26,
'DP və TP'!$K:$K,"Tapşırıqların İcrasına Nəzarət platforması üzrə",
'DP və TP'!$X:$X,"İcra olunmayıb",'DP və TP'!$AD:$AD,"&lt;=1")</f>
        <v>0</v>
      </c>
      <c r="O26" s="34">
        <f>COUNTIFS('DP və TP'!$B:$B,B26,
'DP və TP'!$K:$K,"Tapşırıqların İcrasına Nəzarət platforması üzrə",
'DP və TP'!$X:$X,"İcra olunmayıb, prioritet deyil",'DP və TP'!$AD:$AD,"&lt;=1")</f>
        <v>0</v>
      </c>
      <c r="P26" s="30">
        <f t="shared" si="1"/>
        <v>0</v>
      </c>
    </row>
    <row r="27" spans="1:16" ht="35.25" customHeight="1" x14ac:dyDescent="0.3">
      <c r="A27" s="22">
        <v>17</v>
      </c>
      <c r="B27" s="44" t="s">
        <v>346</v>
      </c>
      <c r="C27" s="41">
        <f>COUNTIFS('DP və TP'!$B:$B,B27,'DP və TP'!$AD:$AD,"&lt;=1")</f>
        <v>10</v>
      </c>
      <c r="D27" s="45">
        <f>COUNTIFS('DP və TP'!$B:$B,B27,'DP və TP'!$X:$X,"Tam icra",'DP və TP'!$AD:$AD,"&lt;=1")</f>
        <v>2</v>
      </c>
      <c r="E27" s="46">
        <f>COUNTIFS('DP və TP'!$B:$B,B27,
'DP və TP'!$X:$X,"Qismən icra",'DP və TP'!$AD:$AD,"&lt;=1")</f>
        <v>1</v>
      </c>
      <c r="F27" s="46">
        <f>COUNTIFS('DP və TP'!$B:$B,B27,
'DP və TP'!$X:$X,"İcra müddətinə var",'DP və TP'!$AD:$AD,"&lt;=1")</f>
        <v>3</v>
      </c>
      <c r="G27" s="46">
        <f>COUNTIFS('DP və TP'!$B:$B,B27,
'DP və TP'!$X:$X,"Gecikmə",'DP və TP'!$AD:$AD,"&lt;=1")</f>
        <v>3</v>
      </c>
      <c r="H27" s="46">
        <f>COUNTIFS('DP və TP'!$B:$B,B27,
'DP və TP'!$X:$X,"İcra olunmayıb",'DP və TP'!$AD:$AD,"&lt;=1")</f>
        <v>0</v>
      </c>
      <c r="I27" s="47">
        <f>COUNTIFS('DP və TP'!$B:$B,B27,
'DP və TP'!$X:$X,"İcra olunmayıb, prioritet deyil",'DP və TP'!$AD:$AD,"&lt;=1")</f>
        <v>1</v>
      </c>
      <c r="J27" s="33">
        <f>COUNTIFS('DP və TP'!$B:$B,B27,
'DP və TP'!$K:$K,"Tapşırıqların İcrasına Nəzarət platforması üzrə",
'DP və TP'!$X:$X,"Tam icra",'DP və TP'!$AD:$AD,"&lt;=1")</f>
        <v>1</v>
      </c>
      <c r="K27" s="33">
        <f>COUNTIFS('DP və TP'!$B:$B,B27,
'DP və TP'!$K:$K,"Tapşırıqların İcrasına Nəzarət platforması üzrə",
'DP və TP'!$X:$X,"Qismən icra",'DP və TP'!$AD:$AD,"&lt;=1")</f>
        <v>0</v>
      </c>
      <c r="L27" s="33">
        <f>COUNTIFS('DP və TP'!$B:$B,B27,
'DP və TP'!$K:$K,"Tapşırıqların İcrasına Nəzarət platforması üzrə",
'DP və TP'!$X:$X,"İcra müddətinə var",'DP və TP'!$AD:$AD,"&lt;=1")</f>
        <v>3</v>
      </c>
      <c r="M27" s="33">
        <f>COUNTIFS('DP və TP'!$B:$B,B27,
'DP və TP'!$K:$K,"Tapşırıqların İcrasına Nəzarət platforması üzrə",
'DP və TP'!$X:$X,"Gecikmə",'DP və TP'!$AD:$AD,"&lt;=1")</f>
        <v>3</v>
      </c>
      <c r="N27" s="33">
        <f>COUNTIFS('DP və TP'!$B:$B,B27,
'DP və TP'!$K:$K,"Tapşırıqların İcrasına Nəzarət platforması üzrə",
'DP və TP'!$X:$X,"İcra olunmayıb",'DP və TP'!$AD:$AD,"&lt;=1")</f>
        <v>0</v>
      </c>
      <c r="O27" s="34">
        <f>COUNTIFS('DP və TP'!$B:$B,B27,
'DP və TP'!$K:$K,"Tapşırıqların İcrasına Nəzarət platforması üzrə",
'DP və TP'!$X:$X,"İcra olunmayıb, prioritet deyil",'DP və TP'!$AD:$AD,"&lt;=1")</f>
        <v>1</v>
      </c>
      <c r="P27" s="40">
        <f t="shared" si="1"/>
        <v>8</v>
      </c>
    </row>
    <row r="28" spans="1:16" ht="46.5" customHeight="1" x14ac:dyDescent="0.3">
      <c r="A28" s="22">
        <v>18</v>
      </c>
      <c r="B28" s="23" t="s">
        <v>30</v>
      </c>
      <c r="C28" s="24">
        <f>COUNTIFS('DP və TP'!$B:$B,B28,'DP və TP'!$AD:$AD,"&lt;=1")</f>
        <v>20</v>
      </c>
      <c r="D28" s="31">
        <f>COUNTIFS('DP və TP'!$B:$B,B28,'DP və TP'!$X:$X,"Tam icra",'DP və TP'!$AD:$AD,"&lt;=1")</f>
        <v>12</v>
      </c>
      <c r="E28" s="32">
        <f>COUNTIFS('DP və TP'!$B:$B,B28,
'DP və TP'!$X:$X,"Qismən icra",'DP və TP'!$AD:$AD,"&lt;=1")</f>
        <v>4</v>
      </c>
      <c r="F28" s="32">
        <f>COUNTIFS('DP və TP'!$B:$B,B28,
'DP və TP'!$X:$X,"İcra müddətinə var",'DP və TP'!$AD:$AD,"&lt;=1")</f>
        <v>0</v>
      </c>
      <c r="G28" s="32">
        <f>COUNTIFS('DP və TP'!$B:$B,B28,
'DP və TP'!$X:$X,"Gecikmə",'DP və TP'!$AD:$AD,"&lt;=1")</f>
        <v>0</v>
      </c>
      <c r="H28" s="32">
        <f>COUNTIFS('DP və TP'!$B:$B,B28,
'DP və TP'!$X:$X,"İcra olunmayıb",'DP və TP'!$AD:$AD,"&lt;=1")</f>
        <v>2</v>
      </c>
      <c r="I28" s="48">
        <f>COUNTIFS('DP və TP'!$B:$B,B28,
'DP və TP'!$X:$X,"İcra olunmayıb, prioritet deyil",'DP və TP'!$AD:$AD,"&lt;=1")</f>
        <v>2</v>
      </c>
      <c r="J28" s="33">
        <f>COUNTIFS('DP və TP'!$B:$B,B28,
'DP və TP'!$K:$K,"Tapşırıqların İcrasına Nəzarət platforması üzrə",
'DP və TP'!$X:$X,"Tam icra",'DP və TP'!$AD:$AD,"&lt;=1")</f>
        <v>3</v>
      </c>
      <c r="K28" s="33">
        <f>COUNTIFS('DP və TP'!$B:$B,B28,
'DP və TP'!$K:$K,"Tapşırıqların İcrasına Nəzarət platforması üzrə",
'DP və TP'!$X:$X,"Qismən icra",'DP və TP'!$AD:$AD,"&lt;=1")</f>
        <v>0</v>
      </c>
      <c r="L28" s="33">
        <f>COUNTIFS('DP və TP'!$B:$B,B28,
'DP və TP'!$K:$K,"Tapşırıqların İcrasına Nəzarət platforması üzrə",
'DP və TP'!$X:$X,"İcra müddətinə var",'DP və TP'!$AD:$AD,"&lt;=1")</f>
        <v>0</v>
      </c>
      <c r="M28" s="33">
        <f>COUNTIFS('DP və TP'!$B:$B,B28,
'DP və TP'!$K:$K,"Tapşırıqların İcrasına Nəzarət platforması üzrə",
'DP və TP'!$X:$X,"Gecikmə",'DP və TP'!$AD:$AD,"&lt;=1")</f>
        <v>0</v>
      </c>
      <c r="N28" s="33">
        <f>COUNTIFS('DP və TP'!$B:$B,B28,
'DP və TP'!$K:$K,"Tapşırıqların İcrasına Nəzarət platforması üzrə",
'DP və TP'!$X:$X,"İcra olunmayıb",'DP və TP'!$AD:$AD,"&lt;=1")</f>
        <v>0</v>
      </c>
      <c r="O28" s="34">
        <f>COUNTIFS('DP və TP'!$B:$B,B28,
'DP və TP'!$K:$K,"Tapşırıqların İcrasına Nəzarət platforması üzrə",
'DP və TP'!$X:$X,"İcra olunmayıb, prioritet deyil",'DP və TP'!$AD:$AD,"&lt;=1")</f>
        <v>0</v>
      </c>
      <c r="P28" s="40">
        <f t="shared" si="1"/>
        <v>3</v>
      </c>
    </row>
    <row r="29" spans="1:16" ht="21" customHeight="1" x14ac:dyDescent="0.3">
      <c r="A29" s="22">
        <v>19</v>
      </c>
      <c r="B29" s="49" t="s">
        <v>456</v>
      </c>
      <c r="C29" s="24">
        <f>COUNTIFS('DP və TP'!$B:$B,B29,'DP və TP'!$AD:$AD,"&lt;=1")</f>
        <v>10</v>
      </c>
      <c r="D29" s="42">
        <f>COUNTIFS('DP və TP'!$B:$B,B29,'DP və TP'!$X:$X,"Tam icra",'DP və TP'!$AD:$AD,"&lt;=1")</f>
        <v>1</v>
      </c>
      <c r="E29" s="27">
        <f>COUNTIFS('DP və TP'!$B:$B,B29,
'DP və TP'!$X:$X,"Qismən icra",'DP və TP'!$AD:$AD,"&lt;=1")</f>
        <v>0</v>
      </c>
      <c r="F29" s="27">
        <f>COUNTIFS('DP və TP'!$B:$B,B29,
'DP və TP'!$X:$X,"İcra müddətinə var",'DP və TP'!$AD:$AD,"&lt;=1")</f>
        <v>6</v>
      </c>
      <c r="G29" s="27">
        <f>COUNTIFS('DP və TP'!$B:$B,B29,
'DP və TP'!$X:$X,"Gecikmə",'DP və TP'!$AD:$AD,"&lt;=1")</f>
        <v>1</v>
      </c>
      <c r="H29" s="27">
        <f>COUNTIFS('DP və TP'!$B:$B,B29,
'DP və TP'!$X:$X,"İcra olunmayıb",'DP və TP'!$AD:$AD,"&lt;=1")</f>
        <v>0</v>
      </c>
      <c r="I29" s="48">
        <f>COUNTIFS('DP və TP'!$B:$B,B29,
'DP və TP'!$X:$X,"İcra olunmayıb, prioritet deyil",'DP və TP'!$AD:$AD,"&lt;=1")</f>
        <v>2</v>
      </c>
      <c r="J29" s="33">
        <f>COUNTIFS('DP və TP'!$B:$B,B29,
'DP və TP'!$K:$K,"Tapşırıqların İcrasına Nəzarət platforması üzrə",
'DP və TP'!$X:$X,"Tam icra",'DP və TP'!$AD:$AD,"&lt;=1")</f>
        <v>0</v>
      </c>
      <c r="K29" s="33">
        <f>COUNTIFS('DP və TP'!$B:$B,B29,
'DP və TP'!$K:$K,"Tapşırıqların İcrasına Nəzarət platforması üzrə",
'DP və TP'!$X:$X,"Qismən icra",'DP və TP'!$AD:$AD,"&lt;=1")</f>
        <v>0</v>
      </c>
      <c r="L29" s="33">
        <f>COUNTIFS('DP və TP'!$B:$B,B29,
'DP və TP'!$K:$K,"Tapşırıqların İcrasına Nəzarət platforması üzrə",
'DP və TP'!$X:$X,"İcra müddətinə var",'DP və TP'!$AD:$AD,"&lt;=1")</f>
        <v>0</v>
      </c>
      <c r="M29" s="33">
        <f>COUNTIFS('DP və TP'!$B:$B,B29,
'DP və TP'!$K:$K,"Tapşırıqların İcrasına Nəzarət platforması üzrə",
'DP və TP'!$X:$X,"Gecikmə",'DP və TP'!$AD:$AD,"&lt;=1")</f>
        <v>0</v>
      </c>
      <c r="N29" s="33">
        <f>COUNTIFS('DP və TP'!$B:$B,B29,
'DP və TP'!$K:$K,"Tapşırıqların İcrasına Nəzarət platforması üzrə",
'DP və TP'!$X:$X,"İcra olunmayıb",'DP və TP'!$AD:$AD,"&lt;=1")</f>
        <v>0</v>
      </c>
      <c r="O29" s="34">
        <f>COUNTIFS('DP və TP'!$B:$B,B29,
'DP və TP'!$K:$K,"Tapşırıqların İcrasına Nəzarət platforması üzrə",
'DP və TP'!$X:$X,"İcra olunmayıb, prioritet deyil",'DP və TP'!$AD:$AD,"&lt;=1")</f>
        <v>0</v>
      </c>
      <c r="P29" s="30">
        <f t="shared" si="1"/>
        <v>0</v>
      </c>
    </row>
    <row r="30" spans="1:16" ht="27" customHeight="1" x14ac:dyDescent="0.3">
      <c r="A30" s="22">
        <v>20</v>
      </c>
      <c r="B30" s="23" t="s">
        <v>139</v>
      </c>
      <c r="C30" s="24">
        <f>COUNTIFS('DP və TP'!$B:$B,B30,'DP və TP'!$AD:$AD,"&lt;=1")</f>
        <v>1</v>
      </c>
      <c r="D30" s="31">
        <f>COUNTIFS('DP və TP'!$B:$B,B30,'DP və TP'!$X:$X,"Tam icra",'DP və TP'!$AD:$AD,"&lt;=1")</f>
        <v>1</v>
      </c>
      <c r="E30" s="32">
        <f>COUNTIFS('DP və TP'!$B:$B,B30,
'DP və TP'!$X:$X,"Qismən icra",'DP və TP'!$AD:$AD,"&lt;=1")</f>
        <v>0</v>
      </c>
      <c r="F30" s="32">
        <f>COUNTIFS('DP və TP'!$B:$B,B30,
'DP və TP'!$X:$X,"İcra müddətinə var",'DP və TP'!$AD:$AD,"&lt;=1")</f>
        <v>0</v>
      </c>
      <c r="G30" s="32">
        <f>COUNTIFS('DP və TP'!$B:$B,B30,
'DP və TP'!$X:$X,"Gecikmə",'DP və TP'!$AD:$AD,"&lt;=1")</f>
        <v>0</v>
      </c>
      <c r="H30" s="32">
        <f>COUNTIFS('DP və TP'!$B:$B,B30,
'DP və TP'!$X:$X,"İcra olunmayıb",'DP və TP'!$AD:$AD,"&lt;=1")</f>
        <v>0</v>
      </c>
      <c r="I30" s="48">
        <f>COUNTIFS('DP və TP'!$B:$B,B30,
'DP və TP'!$X:$X,"İcra olunmayıb, prioritet deyil",'DP və TP'!$AD:$AD,"&lt;=1")</f>
        <v>0</v>
      </c>
      <c r="J30" s="33">
        <f>COUNTIFS('DP və TP'!$B:$B,B30,
'DP və TP'!$K:$K,"Tapşırıqların İcrasına Nəzarət platforması üzrə",
'DP və TP'!$X:$X,"Tam icra",'DP və TP'!$AD:$AD,"&lt;=1")</f>
        <v>1</v>
      </c>
      <c r="K30" s="33">
        <f>COUNTIFS('DP və TP'!$B:$B,B30,
'DP və TP'!$K:$K,"Tapşırıqların İcrasına Nəzarət platforması üzrə",
'DP və TP'!$X:$X,"Qismən icra",'DP və TP'!$AD:$AD,"&lt;=1")</f>
        <v>0</v>
      </c>
      <c r="L30" s="33">
        <f>COUNTIFS('DP və TP'!$B:$B,B30,
'DP və TP'!$K:$K,"Tapşırıqların İcrasına Nəzarət platforması üzrə",
'DP və TP'!$X:$X,"İcra müddətinə var",'DP və TP'!$AD:$AD,"&lt;=1")</f>
        <v>0</v>
      </c>
      <c r="M30" s="33">
        <f>COUNTIFS('DP və TP'!$B:$B,B30,
'DP və TP'!$K:$K,"Tapşırıqların İcrasına Nəzarət platforması üzrə",
'DP və TP'!$X:$X,"Gecikmə",'DP və TP'!$AD:$AD,"&lt;=1")</f>
        <v>0</v>
      </c>
      <c r="N30" s="33">
        <f>COUNTIFS('DP və TP'!$B:$B,B30,
'DP və TP'!$K:$K,"Tapşırıqların İcrasına Nəzarət platforması üzrə",
'DP və TP'!$X:$X,"İcra olunmayıb",'DP və TP'!$AD:$AD,"&lt;=1")</f>
        <v>0</v>
      </c>
      <c r="O30" s="34">
        <f>COUNTIFS('DP və TP'!$B:$B,B30,
'DP və TP'!$K:$K,"Tapşırıqların İcrasına Nəzarət platforması üzrə",
'DP və TP'!$X:$X,"İcra olunmayıb, prioritet deyil",'DP və TP'!$AD:$AD,"&lt;=1")</f>
        <v>0</v>
      </c>
      <c r="P30" s="40">
        <f t="shared" si="1"/>
        <v>1</v>
      </c>
    </row>
    <row r="31" spans="1:16" ht="31.5" customHeight="1" x14ac:dyDescent="0.3">
      <c r="A31" s="22">
        <v>21</v>
      </c>
      <c r="B31" s="23" t="s">
        <v>421</v>
      </c>
      <c r="C31" s="35">
        <f>COUNTIFS('DP və TP'!$B:$B,B31,'DP və TP'!$AD:$AD,"&lt;=1")</f>
        <v>1</v>
      </c>
      <c r="D31" s="36">
        <f>COUNTIFS('DP və TP'!$B:$B,B31,'DP və TP'!$X:$X,"Tam icra",'DP və TP'!$AD:$AD,"&lt;=1")</f>
        <v>1</v>
      </c>
      <c r="E31" s="37">
        <f>COUNTIFS('DP və TP'!$B:$B,B31,
'DP və TP'!$X:$X,"Qismən icra",'DP və TP'!$AD:$AD,"&lt;=1")</f>
        <v>0</v>
      </c>
      <c r="F31" s="37">
        <f>COUNTIFS('DP və TP'!$B:$B,B31,
'DP və TP'!$X:$X,"İcra müddətinə var",'DP və TP'!$AD:$AD,"&lt;=1")</f>
        <v>0</v>
      </c>
      <c r="G31" s="37">
        <f>COUNTIFS('DP və TP'!$B:$B,B31,
'DP və TP'!$X:$X,"Gecikmə",'DP və TP'!$AD:$AD,"&lt;=1")</f>
        <v>0</v>
      </c>
      <c r="H31" s="37">
        <f>COUNTIFS('DP və TP'!$B:$B,B31,
'DP və TP'!$X:$X,"İcra olunmayıb",'DP və TP'!$AD:$AD,"&lt;=1")</f>
        <v>0</v>
      </c>
      <c r="I31" s="50">
        <f>COUNTIFS('DP və TP'!$B:$B,B31,
'DP və TP'!$X:$X,"İcra olunmayıb, prioritet deyil",'DP və TP'!$AD:$AD,"&lt;=1")</f>
        <v>0</v>
      </c>
      <c r="J31" s="33">
        <f>COUNTIFS('DP və TP'!$B:$B,B31,
'DP və TP'!$K:$K,"Tapşırıqların İcrasına Nəzarət platforması üzrə",
'DP və TP'!$X:$X,"Tam icra",'DP və TP'!$AD:$AD,"&lt;=1")</f>
        <v>1</v>
      </c>
      <c r="K31" s="33">
        <f>COUNTIFS('DP və TP'!$B:$B,B31,
'DP və TP'!$K:$K,"Tapşırıqların İcrasına Nəzarət platforması üzrə",
'DP və TP'!$X:$X,"Qismən icra",'DP və TP'!$AD:$AD,"&lt;=1")</f>
        <v>0</v>
      </c>
      <c r="L31" s="33">
        <f>COUNTIFS('DP və TP'!$B:$B,B31,
'DP və TP'!$K:$K,"Tapşırıqların İcrasına Nəzarət platforması üzrə",
'DP və TP'!$X:$X,"İcra müddətinə var",'DP və TP'!$AD:$AD,"&lt;=1")</f>
        <v>0</v>
      </c>
      <c r="M31" s="33">
        <f>COUNTIFS('DP və TP'!$B:$B,B31,
'DP və TP'!$K:$K,"Tapşırıqların İcrasına Nəzarət platforması üzrə",
'DP və TP'!$X:$X,"Gecikmə",'DP və TP'!$AD:$AD,"&lt;=1")</f>
        <v>0</v>
      </c>
      <c r="N31" s="33">
        <f>COUNTIFS('DP və TP'!$B:$B,B31,
'DP və TP'!$K:$K,"Tapşırıqların İcrasına Nəzarət platforması üzrə",
'DP və TP'!$X:$X,"İcra olunmayıb",'DP və TP'!$AD:$AD,"&lt;=1")</f>
        <v>0</v>
      </c>
      <c r="O31" s="34">
        <f>COUNTIFS('DP və TP'!$B:$B,B31,
'DP və TP'!$K:$K,"Tapşırıqların İcrasına Nəzarət platforması üzrə",
'DP və TP'!$X:$X,"İcra olunmayıb, prioritet deyil",'DP və TP'!$AD:$AD,"&lt;=1")</f>
        <v>0</v>
      </c>
      <c r="P31" s="43">
        <f t="shared" si="1"/>
        <v>1</v>
      </c>
    </row>
    <row r="32" spans="1:16" ht="29.25" customHeight="1" x14ac:dyDescent="0.3">
      <c r="A32" s="22">
        <v>22</v>
      </c>
      <c r="B32" s="44" t="s">
        <v>129</v>
      </c>
      <c r="C32" s="41">
        <f>COUNTIFS('DP və TP'!$B:$B,B32,'DP və TP'!$AD:$AD,"&lt;=1")</f>
        <v>3</v>
      </c>
      <c r="D32" s="31">
        <f>COUNTIFS('DP və TP'!$B:$B,B32,'DP və TP'!$X:$X,"Tam icra",'DP və TP'!$AD:$AD,"&lt;=1")</f>
        <v>0</v>
      </c>
      <c r="E32" s="32">
        <f>COUNTIFS('DP və TP'!$B:$B,B32,
'DP və TP'!$X:$X,"Qismən icra",'DP və TP'!$AD:$AD,"&lt;=1")</f>
        <v>1</v>
      </c>
      <c r="F32" s="32">
        <f>COUNTIFS('DP və TP'!$B:$B,B32,
'DP və TP'!$X:$X,"İcra müddətinə var",'DP və TP'!$AD:$AD,"&lt;=1")</f>
        <v>1</v>
      </c>
      <c r="G32" s="32">
        <f>COUNTIFS('DP və TP'!$B:$B,B32,
'DP və TP'!$X:$X,"Gecikmə",'DP və TP'!$AD:$AD,"&lt;=1")</f>
        <v>0</v>
      </c>
      <c r="H32" s="32">
        <f>COUNTIFS('DP və TP'!$B:$B,B32,
'DP və TP'!$X:$X,"İcra olunmayıb",'DP və TP'!$AD:$AD,"&lt;=1")</f>
        <v>1</v>
      </c>
      <c r="I32" s="48">
        <f>COUNTIFS('DP və TP'!$B:$B,B32,
'DP və TP'!$X:$X,"İcra olunmayıb, prioritet deyil",'DP və TP'!$AD:$AD,"&lt;=1")</f>
        <v>0</v>
      </c>
      <c r="J32" s="33">
        <f>COUNTIFS('DP və TP'!$B:$B,B32,
'DP və TP'!$K:$K,"Tapşırıqların İcrasına Nəzarət platforması üzrə",
'DP və TP'!$X:$X,"Tam icra",'DP və TP'!$AD:$AD,"&lt;=1")</f>
        <v>0</v>
      </c>
      <c r="K32" s="33">
        <f>COUNTIFS('DP və TP'!$B:$B,B32,
'DP və TP'!$K:$K,"Tapşırıqların İcrasına Nəzarət platforması üzrə",
'DP və TP'!$X:$X,"Qismən icra",'DP və TP'!$AD:$AD,"&lt;=1")</f>
        <v>0</v>
      </c>
      <c r="L32" s="33">
        <f>COUNTIFS('DP və TP'!$B:$B,B32,
'DP və TP'!$K:$K,"Tapşırıqların İcrasına Nəzarət platforması üzrə",
'DP və TP'!$X:$X,"İcra müddətinə var",'DP və TP'!$AD:$AD,"&lt;=1")</f>
        <v>0</v>
      </c>
      <c r="M32" s="33">
        <f>COUNTIFS('DP və TP'!$B:$B,B32,
'DP və TP'!$K:$K,"Tapşırıqların İcrasına Nəzarət platforması üzrə",
'DP və TP'!$X:$X,"Gecikmə",'DP və TP'!$AD:$AD,"&lt;=1")</f>
        <v>0</v>
      </c>
      <c r="N32" s="33">
        <f>COUNTIFS('DP və TP'!$B:$B,B32,
'DP və TP'!$K:$K,"Tapşırıqların İcrasına Nəzarət platforması üzrə",
'DP və TP'!$X:$X,"İcra olunmayıb",'DP və TP'!$AD:$AD,"&lt;=1")</f>
        <v>0</v>
      </c>
      <c r="O32" s="34">
        <f>COUNTIFS('DP və TP'!$B:$B,B32,
'DP və TP'!$K:$K,"Tapşırıqların İcrasına Nəzarət platforması üzrə",
'DP və TP'!$X:$X,"İcra olunmayıb, prioritet deyil",'DP və TP'!$AD:$AD,"&lt;=1")</f>
        <v>0</v>
      </c>
      <c r="P32" s="40">
        <f t="shared" si="1"/>
        <v>0</v>
      </c>
    </row>
    <row r="33" spans="1:16" ht="21.75" customHeight="1" x14ac:dyDescent="0.3">
      <c r="A33" s="22">
        <v>23</v>
      </c>
      <c r="B33" s="23" t="s">
        <v>544</v>
      </c>
      <c r="C33" s="24">
        <f>COUNTIFS('DP və TP'!$B:$B,B33,'DP və TP'!$AD:$AD,"&lt;=1")</f>
        <v>1</v>
      </c>
      <c r="D33" s="36">
        <f>COUNTIFS('DP və TP'!$B:$B,B33,'DP və TP'!$X:$X,"Tam icra",'DP və TP'!$AD:$AD,"&lt;=1")</f>
        <v>0</v>
      </c>
      <c r="E33" s="37">
        <f>COUNTIFS('DP və TP'!$B:$B,B33,
'DP və TP'!$X:$X,"Qismən icra",'DP və TP'!$AD:$AD,"&lt;=1")</f>
        <v>0</v>
      </c>
      <c r="F33" s="37">
        <f>COUNTIFS('DP və TP'!$B:$B,B33,
'DP və TP'!$X:$X,"İcra müddətinə var",'DP və TP'!$AD:$AD,"&lt;=1")</f>
        <v>1</v>
      </c>
      <c r="G33" s="37">
        <f>COUNTIFS('DP və TP'!$B:$B,B33,
'DP və TP'!$X:$X,"Gecikmə",'DP və TP'!$AD:$AD,"&lt;=1")</f>
        <v>0</v>
      </c>
      <c r="H33" s="37">
        <f>COUNTIFS('DP və TP'!$B:$B,B33,
'DP və TP'!$X:$X,"İcra olunmayıb",'DP və TP'!$AD:$AD,"&lt;=1")</f>
        <v>0</v>
      </c>
      <c r="I33" s="50">
        <f>COUNTIFS('DP və TP'!$B:$B,B33,
'DP və TP'!$X:$X,"İcra olunmayıb, prioritet deyil",'DP və TP'!$AD:$AD,"&lt;=1")</f>
        <v>0</v>
      </c>
      <c r="J33" s="33">
        <f>COUNTIFS('DP və TP'!$B:$B,B33,
'DP və TP'!$K:$K,"Tapşırıqların İcrasına Nəzarət platforması üzrə",
'DP və TP'!$X:$X,"Tam icra",'DP və TP'!$AD:$AD,"&lt;=1")</f>
        <v>0</v>
      </c>
      <c r="K33" s="33">
        <f>COUNTIFS('DP və TP'!$B:$B,B33,
'DP və TP'!$K:$K,"Tapşırıqların İcrasına Nəzarət platforması üzrə",
'DP və TP'!$X:$X,"Qismən icra",'DP və TP'!$AD:$AD,"&lt;=1")</f>
        <v>0</v>
      </c>
      <c r="L33" s="33">
        <f>COUNTIFS('DP və TP'!$B:$B,B33,
'DP və TP'!$K:$K,"Tapşırıqların İcrasına Nəzarət platforması üzrə",
'DP və TP'!$X:$X,"İcra müddətinə var",'DP və TP'!$AD:$AD,"&lt;=1")</f>
        <v>1</v>
      </c>
      <c r="M33" s="33">
        <f>COUNTIFS('DP və TP'!$B:$B,B33,
'DP və TP'!$K:$K,"Tapşırıqların İcrasına Nəzarət platforması üzrə",
'DP və TP'!$X:$X,"Gecikmə",'DP və TP'!$AD:$AD,"&lt;=1")</f>
        <v>0</v>
      </c>
      <c r="N33" s="33">
        <f>COUNTIFS('DP və TP'!$B:$B,B33,
'DP və TP'!$K:$K,"Tapşırıqların İcrasına Nəzarət platforması üzrə",
'DP və TP'!$X:$X,"İcra olunmayıb",'DP və TP'!$AD:$AD,"&lt;=1")</f>
        <v>0</v>
      </c>
      <c r="O33" s="34">
        <f>COUNTIFS('DP və TP'!$B:$B,B33,
'DP və TP'!$K:$K,"Tapşırıqların İcrasına Nəzarət platforması üzrə",
'DP və TP'!$X:$X,"İcra olunmayıb, prioritet deyil",'DP və TP'!$AD:$AD,"&lt;=1")</f>
        <v>0</v>
      </c>
      <c r="P33" s="51">
        <f t="shared" si="1"/>
        <v>1</v>
      </c>
    </row>
    <row r="34" spans="1:16" ht="46.5" customHeight="1" x14ac:dyDescent="0.3">
      <c r="A34" s="22">
        <v>24</v>
      </c>
      <c r="B34" s="52" t="s">
        <v>641</v>
      </c>
      <c r="C34" s="24">
        <f>COUNTIFS('DP və TP'!$B:$B,B34,'DP və TP'!$AD:$AD,"&lt;=1")</f>
        <v>18</v>
      </c>
      <c r="D34" s="31">
        <f>COUNTIFS('DP və TP'!$B:$B,B34,'DP və TP'!$X:$X,"Tam icra",'DP və TP'!$AD:$AD,"&lt;=1")</f>
        <v>1</v>
      </c>
      <c r="E34" s="32">
        <f>COUNTIFS('DP və TP'!$B:$B,B34,
'DP və TP'!$X:$X,"Qismən icra",'DP və TP'!$AD:$AD,"&lt;=1")</f>
        <v>0</v>
      </c>
      <c r="F34" s="32">
        <f>COUNTIFS('DP və TP'!$B:$B,B34,
'DP və TP'!$X:$X,"İcra müddətinə var",'DP və TP'!$AD:$AD,"&lt;=1")</f>
        <v>10</v>
      </c>
      <c r="G34" s="32">
        <f>COUNTIFS('DP və TP'!$B:$B,B34,
'DP və TP'!$X:$X,"Gecikmə",'DP və TP'!$AD:$AD,"&lt;=1")</f>
        <v>2</v>
      </c>
      <c r="H34" s="32">
        <f>COUNTIFS('DP və TP'!$B:$B,B34,
'DP və TP'!$X:$X,"İcra olunmayıb",'DP və TP'!$AD:$AD,"&lt;=1")</f>
        <v>1</v>
      </c>
      <c r="I34" s="48">
        <f>COUNTIFS('DP və TP'!$B:$B,B34,
'DP və TP'!$X:$X,"İcra olunmayıb, prioritet deyil",'DP və TP'!$AD:$AD,"&lt;=1")</f>
        <v>4</v>
      </c>
      <c r="J34" s="33">
        <f>COUNTIFS('DP və TP'!$B:$B,B34,
'DP və TP'!$K:$K,"Tapşırıqların İcrasına Nəzarət platforması üzrə",
'DP və TP'!$X:$X,"Tam icra",'DP və TP'!$AD:$AD,"&lt;=1")</f>
        <v>0</v>
      </c>
      <c r="K34" s="33">
        <f>COUNTIFS('DP və TP'!$B:$B,B34,
'DP və TP'!$K:$K,"Tapşırıqların İcrasına Nəzarət platforması üzrə",
'DP və TP'!$X:$X,"Qismən icra",'DP və TP'!$AD:$AD,"&lt;=1")</f>
        <v>0</v>
      </c>
      <c r="L34" s="33">
        <f>COUNTIFS('DP və TP'!$B:$B,B34,
'DP və TP'!$K:$K,"Tapşırıqların İcrasına Nəzarət platforması üzrə",
'DP və TP'!$X:$X,"İcra müddətinə var",'DP və TP'!$AD:$AD,"&lt;=1")</f>
        <v>1</v>
      </c>
      <c r="M34" s="33">
        <f>COUNTIFS('DP və TP'!$B:$B,B34,
'DP və TP'!$K:$K,"Tapşırıqların İcrasına Nəzarət platforması üzrə",
'DP və TP'!$X:$X,"Gecikmə",'DP və TP'!$AD:$AD,"&lt;=1")</f>
        <v>1</v>
      </c>
      <c r="N34" s="33">
        <f>COUNTIFS('DP və TP'!$B:$B,B34,
'DP və TP'!$K:$K,"Tapşırıqların İcrasına Nəzarət platforması üzrə",
'DP və TP'!$X:$X,"İcra olunmayıb",'DP və TP'!$AD:$AD,"&lt;=1")</f>
        <v>1</v>
      </c>
      <c r="O34" s="34">
        <f>COUNTIFS('DP və TP'!$B:$B,B34,
'DP və TP'!$K:$K,"Tapşırıqların İcrasına Nəzarət platforması üzrə",
'DP və TP'!$X:$X,"İcra olunmayıb, prioritet deyil",'DP və TP'!$AD:$AD,"&lt;=1")</f>
        <v>0</v>
      </c>
      <c r="P34" s="43"/>
    </row>
    <row r="35" spans="1:16" ht="36" customHeight="1" x14ac:dyDescent="0.3">
      <c r="A35" s="22">
        <v>25</v>
      </c>
      <c r="B35" s="52" t="s">
        <v>561</v>
      </c>
      <c r="C35" s="35">
        <f>COUNTIFS('DP və TP'!$B:$B,B35,'DP və TP'!$AD:$AD,"&lt;=1")</f>
        <v>28</v>
      </c>
      <c r="D35" s="42">
        <f>COUNTIFS('DP və TP'!$B:$B,B35,'DP və TP'!$X:$X,"Tam icra",'DP və TP'!$AD:$AD,"&lt;=1")</f>
        <v>10</v>
      </c>
      <c r="E35" s="27">
        <f>COUNTIFS('DP və TP'!$B:$B,B35,
'DP və TP'!$X:$X,"Qismən icra",'DP və TP'!$AD:$AD,"&lt;=1")</f>
        <v>3</v>
      </c>
      <c r="F35" s="27">
        <f>COUNTIFS('DP və TP'!$B:$B,B35,
'DP və TP'!$X:$X,"İcra müddətinə var",'DP və TP'!$AD:$AD,"&lt;=1")</f>
        <v>4</v>
      </c>
      <c r="G35" s="27">
        <f>COUNTIFS('DP və TP'!$B:$B,B35,
'DP və TP'!$X:$X,"Gecikmə",'DP və TP'!$AD:$AD,"&lt;=1")</f>
        <v>2</v>
      </c>
      <c r="H35" s="27">
        <f>COUNTIFS('DP və TP'!$B:$B,B35,
'DP və TP'!$X:$X,"İcra olunmayıb",'DP və TP'!$AD:$AD,"&lt;=1")</f>
        <v>2</v>
      </c>
      <c r="I35" s="53">
        <f>COUNTIFS('DP və TP'!$B:$B,B35,
'DP və TP'!$X:$X,"İcra olunmayıb, prioritet deyil",'DP və TP'!$AD:$AD,"&lt;=1")</f>
        <v>7</v>
      </c>
      <c r="J35" s="33">
        <f>COUNTIFS('DP və TP'!$B:$B,B35,
'DP və TP'!$K:$K,"Tapşırıqların İcrasına Nəzarət platforması üzrə",
'DP və TP'!$X:$X,"Tam icra",'DP və TP'!$AD:$AD,"&lt;=1")</f>
        <v>2</v>
      </c>
      <c r="K35" s="33">
        <f>COUNTIFS('DP və TP'!$B:$B,B35,
'DP və TP'!$K:$K,"Tapşırıqların İcrasına Nəzarət platforması üzrə",
'DP və TP'!$X:$X,"Qismən icra",'DP və TP'!$AD:$AD,"&lt;=1")</f>
        <v>1</v>
      </c>
      <c r="L35" s="33">
        <f>COUNTIFS('DP və TP'!$B:$B,B35,
'DP və TP'!$K:$K,"Tapşırıqların İcrasına Nəzarət platforması üzrə",
'DP və TP'!$X:$X,"İcra müddətinə var",'DP və TP'!$AD:$AD,"&lt;=1")</f>
        <v>1</v>
      </c>
      <c r="M35" s="33">
        <f>COUNTIFS('DP və TP'!$B:$B,B35,
'DP və TP'!$K:$K,"Tapşırıqların İcrasına Nəzarət platforması üzrə",
'DP və TP'!$X:$X,"Gecikmə",'DP və TP'!$AD:$AD,"&lt;=1")</f>
        <v>1</v>
      </c>
      <c r="N35" s="33">
        <f>COUNTIFS('DP və TP'!$B:$B,B35,
'DP və TP'!$K:$K,"Tapşırıqların İcrasına Nəzarət platforması üzrə",
'DP və TP'!$X:$X,"İcra olunmayıb",'DP və TP'!$AD:$AD,"&lt;=1")</f>
        <v>0</v>
      </c>
      <c r="O35" s="34">
        <f>COUNTIFS('DP və TP'!$B:$B,B35,
'DP və TP'!$K:$K,"Tapşırıqların İcrasına Nəzarət platforması üzrə",
'DP və TP'!$X:$X,"İcra olunmayıb, prioritet deyil",'DP və TP'!$AD:$AD,"&lt;=1")</f>
        <v>0</v>
      </c>
      <c r="P35" s="40">
        <f>SUM(J35:O35)</f>
        <v>5</v>
      </c>
    </row>
    <row r="36" spans="1:16" ht="36" customHeight="1" x14ac:dyDescent="0.3">
      <c r="A36" s="22">
        <v>26</v>
      </c>
      <c r="B36" s="52" t="s">
        <v>685</v>
      </c>
      <c r="C36" s="35">
        <f>COUNTIFS('DP və TP'!$B:$B,B36,'DP və TP'!$AD:$AD,"&lt;=1")</f>
        <v>94</v>
      </c>
      <c r="D36" s="42">
        <f>COUNTIFS('DP və TP'!$B:$B,B36,'DP və TP'!$X:$X,"Tam icra",'DP və TP'!$AD:$AD,"&lt;=1")</f>
        <v>13</v>
      </c>
      <c r="E36" s="27">
        <f>COUNTIFS('DP və TP'!$B:$B,B36,
'DP və TP'!$X:$X,"Qismən icra",'DP və TP'!$AD:$AD,"&lt;=1")</f>
        <v>13</v>
      </c>
      <c r="F36" s="27">
        <f>COUNTIFS('DP və TP'!$B:$B,B36,
'DP və TP'!$X:$X,"İcra müddətinə var",'DP və TP'!$AD:$AD,"&lt;=1")</f>
        <v>35</v>
      </c>
      <c r="G36" s="27">
        <f>COUNTIFS('DP və TP'!$B:$B,B36,
'DP və TP'!$X:$X,"Gecikmə",'DP və TP'!$AD:$AD,"&lt;=1")</f>
        <v>5</v>
      </c>
      <c r="H36" s="27">
        <f>COUNTIFS('DP və TP'!$B:$B,B36,
'DP və TP'!$X:$X,"İcra olunmayıb",'DP və TP'!$AD:$AD,"&lt;=1")</f>
        <v>8</v>
      </c>
      <c r="I36" s="50">
        <f>COUNTIFS('DP və TP'!$B:$B,B36,
'DP və TP'!$X:$X,"İcra olunmayıb, prioritet deyil",'DP və TP'!$AD:$AD,"&lt;=1")</f>
        <v>20</v>
      </c>
      <c r="J36" s="33">
        <f>COUNTIFS('DP və TP'!$B:$B,B36,
'DP və TP'!$K:$K,"Tapşırıqların İcrasına Nəzarət platforması üzrə",
'DP və TP'!$X:$X,"Tam icra",'DP və TP'!$AD:$AD,"&lt;=1")</f>
        <v>3</v>
      </c>
      <c r="K36" s="33">
        <f>COUNTIFS('DP və TP'!$B:$B,B36,
'DP və TP'!$K:$K,"Tapşırıqların İcrasına Nəzarət platforması üzrə",
'DP və TP'!$X:$X,"Qismən icra",'DP və TP'!$AD:$AD,"&lt;=1")</f>
        <v>0</v>
      </c>
      <c r="L36" s="33">
        <f>COUNTIFS('DP və TP'!$B:$B,B36,
'DP və TP'!$K:$K,"Tapşırıqların İcrasına Nəzarət platforması üzrə",
'DP və TP'!$X:$X,"İcra müddətinə var",'DP və TP'!$AD:$AD,"&lt;=1")</f>
        <v>1</v>
      </c>
      <c r="M36" s="33">
        <f>COUNTIFS('DP və TP'!$B:$B,B36,
'DP və TP'!$K:$K,"Tapşırıqların İcrasına Nəzarət platforması üzrə",
'DP və TP'!$X:$X,"Gecikmə",'DP və TP'!$AD:$AD,"&lt;=1")</f>
        <v>0</v>
      </c>
      <c r="N36" s="33">
        <f>COUNTIFS('DP və TP'!$B:$B,B36,
'DP və TP'!$K:$K,"Tapşırıqların İcrasına Nəzarət platforması üzrə",
'DP və TP'!$X:$X,"İcra olunmayıb",'DP və TP'!$AD:$AD,"&lt;=1")</f>
        <v>1</v>
      </c>
      <c r="O36" s="34">
        <f>COUNTIFS('DP və TP'!$B:$B,B36,
'DP və TP'!$K:$K,"Tapşırıqların İcrasına Nəzarət platforması üzrə",
'DP və TP'!$X:$X,"İcra olunmayıb, prioritet deyil",'DP və TP'!$AD:$AD,"&lt;=1")</f>
        <v>1</v>
      </c>
      <c r="P36" s="40">
        <f>SUM(J36:O36)</f>
        <v>6</v>
      </c>
    </row>
    <row r="37" spans="1:16" ht="46.5" customHeight="1" x14ac:dyDescent="0.3">
      <c r="A37" s="22">
        <v>27</v>
      </c>
      <c r="B37" s="52" t="s">
        <v>681</v>
      </c>
      <c r="C37" s="41">
        <f>COUNTIFS('DP və TP'!$B:$B,B37,'DP və TP'!$AD:$AD,"&lt;=1")</f>
        <v>2</v>
      </c>
      <c r="D37" s="42">
        <f>COUNTIFS('DP və TP'!$B:$B,B37,'DP və TP'!$X:$X,"Tam icra",'DP və TP'!$AD:$AD,"&lt;=1")</f>
        <v>1</v>
      </c>
      <c r="E37" s="27">
        <f>COUNTIFS('DP və TP'!$B:$B,B37,
'DP və TP'!$X:$X,"Qismən icra",'DP və TP'!$AD:$AD,"&lt;=1")</f>
        <v>1</v>
      </c>
      <c r="F37" s="27">
        <f>COUNTIFS('DP və TP'!$B:$B,B37,
'DP və TP'!$X:$X,"İcra müddətinə var",'DP və TP'!$AD:$AD,"&lt;=1")</f>
        <v>0</v>
      </c>
      <c r="G37" s="27">
        <f>COUNTIFS('DP və TP'!$B:$B,B37,
'DP və TP'!$X:$X,"Gecikmə",'DP və TP'!$AD:$AD,"&lt;=1")</f>
        <v>0</v>
      </c>
      <c r="H37" s="27">
        <f>COUNTIFS('DP və TP'!$B:$B,B37,
'DP və TP'!$X:$X,"İcra olunmayıb",'DP və TP'!$AD:$AD,"&lt;=1")</f>
        <v>0</v>
      </c>
      <c r="I37" s="48">
        <f>COUNTIFS('DP və TP'!$B:$B,B37,
'DP və TP'!$X:$X,"İcra olunmayıb, prioritet deyil",'DP və TP'!$AD:$AD,"&lt;=1")</f>
        <v>0</v>
      </c>
      <c r="J37" s="33">
        <f>COUNTIFS('DP və TP'!$B:$B,B37,
'DP və TP'!$K:$K,"Tapşırıqların İcrasına Nəzarət platforması üzrə",
'DP və TP'!$X:$X,"Tam icra",'DP və TP'!$AD:$AD,"&lt;=1")</f>
        <v>0</v>
      </c>
      <c r="K37" s="33">
        <f>COUNTIFS('DP və TP'!$B:$B,B37,
'DP və TP'!$K:$K,"Tapşırıqların İcrasına Nəzarət platforması üzrə",
'DP və TP'!$X:$X,"Qismən icra",'DP və TP'!$AD:$AD,"&lt;=1")</f>
        <v>0</v>
      </c>
      <c r="L37" s="33">
        <f>COUNTIFS('DP və TP'!$B:$B,B37,
'DP və TP'!$K:$K,"Tapşırıqların İcrasına Nəzarət platforması üzrə",
'DP və TP'!$X:$X,"İcra müddətinə var",'DP və TP'!$AD:$AD,"&lt;=1")</f>
        <v>0</v>
      </c>
      <c r="M37" s="33">
        <f>COUNTIFS('DP və TP'!$B:$B,B37,
'DP və TP'!$K:$K,"Tapşırıqların İcrasına Nəzarət platforması üzrə",
'DP və TP'!$X:$X,"Gecikmə",'DP və TP'!$AD:$AD,"&lt;=1")</f>
        <v>0</v>
      </c>
      <c r="N37" s="33">
        <f>COUNTIFS('DP və TP'!$B:$B,B37,
'DP və TP'!$K:$K,"Tapşırıqların İcrasına Nəzarət platforması üzrə",
'DP və TP'!$X:$X,"İcra olunmayıb",'DP və TP'!$AD:$AD,"&lt;=1")</f>
        <v>0</v>
      </c>
      <c r="O37" s="34">
        <f>COUNTIFS('DP və TP'!$B:$B,B37,
'DP və TP'!$K:$K,"Tapşırıqların İcrasına Nəzarət platforması üzrə",
'DP və TP'!$X:$X,"İcra olunmayıb, prioritet deyil",'DP və TP'!$AD:$AD,"&lt;=1")</f>
        <v>0</v>
      </c>
      <c r="P37" s="40"/>
    </row>
    <row r="38" spans="1:16" ht="60.75" customHeight="1" x14ac:dyDescent="0.3">
      <c r="A38" s="22">
        <v>28</v>
      </c>
      <c r="B38" s="52" t="s">
        <v>550</v>
      </c>
      <c r="C38" s="35">
        <f>COUNTIFS('DP və TP'!$B:$B,B38,'DP və TP'!$AD:$AD,"&lt;=1")</f>
        <v>4</v>
      </c>
      <c r="D38" s="42">
        <f>COUNTIFS('DP və TP'!$B:$B,B38,'DP və TP'!$X:$X,"Tam icra",'DP və TP'!$AD:$AD,"&lt;=1")</f>
        <v>1</v>
      </c>
      <c r="E38" s="27">
        <f>COUNTIFS('DP və TP'!$B:$B,B38,
'DP və TP'!$X:$X,"Qismən icra",'DP və TP'!$AD:$AD,"&lt;=1")</f>
        <v>1</v>
      </c>
      <c r="F38" s="27">
        <f>COUNTIFS('DP və TP'!$B:$B,B38,
'DP və TP'!$X:$X,"İcra müddətinə var",'DP və TP'!$AD:$AD,"&lt;=1")</f>
        <v>0</v>
      </c>
      <c r="G38" s="27">
        <f>COUNTIFS('DP və TP'!$B:$B,B38,
'DP və TP'!$X:$X,"Gecikmə",'DP və TP'!$AD:$AD,"&lt;=1")</f>
        <v>0</v>
      </c>
      <c r="H38" s="27">
        <f>COUNTIFS('DP və TP'!$B:$B,B38,
'DP və TP'!$X:$X,"İcra olunmayıb",'DP və TP'!$AD:$AD,"&lt;=1")</f>
        <v>2</v>
      </c>
      <c r="I38" s="53">
        <f>COUNTIFS('DP və TP'!$B:$B,B38,
'DP və TP'!$X:$X,"İcra olunmayıb, prioritet deyil",'DP və TP'!$AD:$AD,"&lt;=1")</f>
        <v>0</v>
      </c>
      <c r="J38" s="54">
        <f>COUNTIFS('DP və TP'!$B:$B,B38,
'DP və TP'!$K:$K,"Tapşırıqların İcrasına Nəzarət platforması üzrə",
'DP və TP'!$X:$X,"Tam icra",'DP və TP'!$AD:$AD,"&lt;=1")</f>
        <v>0</v>
      </c>
      <c r="K38" s="54">
        <f>COUNTIFS('DP və TP'!$B:$B,B38,
'DP və TP'!$K:$K,"Tapşırıqların İcrasına Nəzarət platforması üzrə",
'DP və TP'!$X:$X,"Qismən icra",'DP və TP'!$AD:$AD,"&lt;=1")</f>
        <v>1</v>
      </c>
      <c r="L38" s="54">
        <f>COUNTIFS('DP və TP'!$B:$B,B38,
'DP və TP'!$K:$K,"Tapşırıqların İcrasına Nəzarət platforması üzrə",
'DP və TP'!$X:$X,"İcra müddətinə var",'DP və TP'!$AD:$AD,"&lt;=1")</f>
        <v>0</v>
      </c>
      <c r="M38" s="54">
        <f>COUNTIFS('DP və TP'!$B:$B,B38,
'DP və TP'!$K:$K,"Tapşırıqların İcrasına Nəzarət platforması üzrə",
'DP və TP'!$X:$X,"Gecikmə",'DP və TP'!$AD:$AD,"&lt;=1")</f>
        <v>0</v>
      </c>
      <c r="N38" s="54">
        <f>COUNTIFS('DP və TP'!$B:$B,B38,
'DP və TP'!$K:$K,"Tapşırıqların İcrasına Nəzarət platforması üzrə",
'DP və TP'!$X:$X,"İcra olunmayıb",'DP və TP'!$AD:$AD,"&lt;=1")</f>
        <v>0</v>
      </c>
      <c r="O38" s="55">
        <f>COUNTIFS('DP və TP'!$B:$B,B38,
'DP və TP'!$K:$K,"Tapşırıqların İcrasına Nəzarət platforması üzrə",
'DP və TP'!$X:$X,"İcra olunmayıb, prioritet deyil",'DP və TP'!$AD:$AD,"&lt;=1")</f>
        <v>0</v>
      </c>
      <c r="P38" s="56">
        <f>SUM(J38:O38)</f>
        <v>1</v>
      </c>
    </row>
    <row r="39" spans="1:16" ht="16.5" customHeight="1" x14ac:dyDescent="0.3">
      <c r="A39" s="153" t="s">
        <v>1088</v>
      </c>
      <c r="B39" s="153"/>
      <c r="C39" s="1">
        <f t="shared" ref="C39:I39" si="2">SUM(C11:C38)</f>
        <v>259</v>
      </c>
      <c r="D39" s="57">
        <f t="shared" si="2"/>
        <v>61</v>
      </c>
      <c r="E39" s="57">
        <f t="shared" si="2"/>
        <v>29</v>
      </c>
      <c r="F39" s="57">
        <f t="shared" si="2"/>
        <v>82</v>
      </c>
      <c r="G39" s="57">
        <f t="shared" si="2"/>
        <v>21</v>
      </c>
      <c r="H39" s="57">
        <f t="shared" si="2"/>
        <v>18</v>
      </c>
      <c r="I39" s="58">
        <f t="shared" si="2"/>
        <v>48</v>
      </c>
      <c r="J39" s="59">
        <f t="shared" ref="J39:P39" si="3">SUM(J11:J33)</f>
        <v>13</v>
      </c>
      <c r="K39" s="60">
        <f t="shared" si="3"/>
        <v>2</v>
      </c>
      <c r="L39" s="60">
        <f t="shared" si="3"/>
        <v>9</v>
      </c>
      <c r="M39" s="60">
        <f t="shared" si="3"/>
        <v>5</v>
      </c>
      <c r="N39" s="61">
        <f t="shared" si="3"/>
        <v>1</v>
      </c>
      <c r="O39" s="51">
        <f t="shared" si="3"/>
        <v>4</v>
      </c>
      <c r="P39" s="40">
        <f t="shared" si="3"/>
        <v>32</v>
      </c>
    </row>
    <row r="40" spans="1:16" ht="15.75" customHeight="1" x14ac:dyDescent="0.3">
      <c r="B40" s="62"/>
      <c r="C40" s="62"/>
      <c r="J40" s="63"/>
      <c r="N40" s="64"/>
    </row>
    <row r="41" spans="1:16" ht="31.5" customHeight="1" x14ac:dyDescent="0.3">
      <c r="B41" s="65"/>
      <c r="C41" s="65"/>
      <c r="D41" s="65"/>
      <c r="J41" s="63"/>
      <c r="N41" s="64"/>
    </row>
    <row r="42" spans="1:16" ht="27" customHeight="1" x14ac:dyDescent="0.3">
      <c r="B42" s="65"/>
      <c r="C42" s="65"/>
      <c r="D42" s="65"/>
      <c r="J42" s="63"/>
      <c r="N42" s="64"/>
    </row>
    <row r="43" spans="1:16" ht="25.5" customHeight="1" x14ac:dyDescent="0.3">
      <c r="B43" s="65"/>
      <c r="C43" s="65"/>
      <c r="D43" s="65"/>
      <c r="J43" s="63"/>
      <c r="N43" s="64"/>
    </row>
    <row r="44" spans="1:16" ht="15" customHeight="1" x14ac:dyDescent="0.3">
      <c r="J44" s="63"/>
      <c r="N44" s="64"/>
    </row>
    <row r="45" spans="1:16" ht="15" customHeight="1" x14ac:dyDescent="0.3">
      <c r="B45" s="66"/>
      <c r="C45" s="66"/>
      <c r="J45" s="63"/>
      <c r="N45" s="64"/>
    </row>
    <row r="46" spans="1:16" ht="18" customHeight="1" x14ac:dyDescent="0.3">
      <c r="B46" s="66"/>
      <c r="C46" s="66"/>
      <c r="J46" s="63"/>
      <c r="N46" s="64"/>
    </row>
    <row r="47" spans="1:16" ht="15" customHeight="1" x14ac:dyDescent="0.3">
      <c r="J47" s="63"/>
      <c r="N47" s="64"/>
    </row>
    <row r="48" spans="1:16" ht="15" customHeight="1" x14ac:dyDescent="0.3">
      <c r="J48" s="63"/>
      <c r="N48" s="64"/>
    </row>
    <row r="49" spans="10:14" ht="15" customHeight="1" x14ac:dyDescent="0.3">
      <c r="J49" s="63"/>
      <c r="N49" s="64"/>
    </row>
    <row r="50" spans="10:14" ht="15" customHeight="1" x14ac:dyDescent="0.3">
      <c r="J50" s="63"/>
      <c r="N50" s="64"/>
    </row>
    <row r="51" spans="10:14" ht="15" customHeight="1" x14ac:dyDescent="0.3">
      <c r="J51" s="63"/>
      <c r="N51" s="64"/>
    </row>
    <row r="52" spans="10:14" ht="15" customHeight="1" x14ac:dyDescent="0.3">
      <c r="J52" s="63"/>
      <c r="N52" s="64"/>
    </row>
    <row r="53" spans="10:14" ht="15" customHeight="1" x14ac:dyDescent="0.3">
      <c r="J53" s="63"/>
      <c r="N53" s="64"/>
    </row>
    <row r="54" spans="10:14" ht="15" customHeight="1" x14ac:dyDescent="0.3">
      <c r="J54" s="63"/>
      <c r="N54" s="64"/>
    </row>
    <row r="55" spans="10:14" ht="15" customHeight="1" x14ac:dyDescent="0.3">
      <c r="J55" s="63"/>
      <c r="N55" s="64"/>
    </row>
    <row r="56" spans="10:14" ht="15" customHeight="1" x14ac:dyDescent="0.3">
      <c r="J56" s="63"/>
      <c r="N56" s="64"/>
    </row>
    <row r="57" spans="10:14" ht="15" customHeight="1" x14ac:dyDescent="0.3">
      <c r="J57" s="63"/>
      <c r="N57" s="64"/>
    </row>
    <row r="58" spans="10:14" ht="15" customHeight="1" x14ac:dyDescent="0.3">
      <c r="J58" s="63"/>
      <c r="N58" s="64"/>
    </row>
    <row r="59" spans="10:14" ht="15" customHeight="1" x14ac:dyDescent="0.3">
      <c r="J59" s="67"/>
      <c r="K59" s="68"/>
      <c r="L59" s="68"/>
      <c r="M59" s="68"/>
      <c r="N59" s="69"/>
    </row>
  </sheetData>
  <mergeCells count="6">
    <mergeCell ref="J9:P9"/>
    <mergeCell ref="A39:B39"/>
    <mergeCell ref="A9:A10"/>
    <mergeCell ref="B9:B10"/>
    <mergeCell ref="C9:C10"/>
    <mergeCell ref="D9:I9"/>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6"/>
  <sheetViews>
    <sheetView topLeftCell="A15" zoomScaleNormal="100" workbookViewId="0">
      <selection activeCell="D11" sqref="D11"/>
    </sheetView>
  </sheetViews>
  <sheetFormatPr defaultColWidth="8.6640625" defaultRowHeight="15" customHeight="1" x14ac:dyDescent="0.3"/>
  <cols>
    <col min="2" max="2" width="93.44140625" customWidth="1"/>
    <col min="3" max="3" width="13.5546875" customWidth="1"/>
    <col min="4" max="4" width="9.5546875" customWidth="1"/>
    <col min="5" max="5" width="11.44140625" customWidth="1"/>
    <col min="6" max="6" width="16.6640625" customWidth="1"/>
    <col min="7" max="7" width="10.6640625" customWidth="1"/>
    <col min="8" max="8" width="12.5546875" customWidth="1"/>
    <col min="9" max="9" width="12.109375" customWidth="1"/>
    <col min="10" max="11" width="10.6640625" customWidth="1"/>
    <col min="12" max="12" width="11.5546875" customWidth="1"/>
    <col min="13" max="13" width="10.6640625" customWidth="1"/>
    <col min="14" max="14" width="11.44140625" customWidth="1"/>
    <col min="15" max="15" width="11.5546875" customWidth="1"/>
    <col min="16" max="16" width="7.5546875" customWidth="1"/>
    <col min="17" max="17" width="33.5546875" customWidth="1"/>
  </cols>
  <sheetData>
    <row r="1" spans="1:16" ht="30" customHeight="1" x14ac:dyDescent="0.3">
      <c r="A1" s="13"/>
      <c r="B1" s="14" t="s">
        <v>1072</v>
      </c>
      <c r="C1" s="14"/>
      <c r="D1" s="13"/>
      <c r="E1" s="15" t="s">
        <v>1073</v>
      </c>
      <c r="F1" s="15" t="s">
        <v>1074</v>
      </c>
      <c r="G1" s="15" t="s">
        <v>1075</v>
      </c>
      <c r="H1" s="13"/>
      <c r="I1" s="13"/>
    </row>
    <row r="2" spans="1:16" ht="30" customHeight="1" x14ac:dyDescent="0.3">
      <c r="A2" s="13"/>
      <c r="B2" s="14" t="s">
        <v>1076</v>
      </c>
      <c r="C2" s="14"/>
      <c r="D2" s="13"/>
      <c r="E2" s="16" t="s">
        <v>1077</v>
      </c>
      <c r="F2" s="16">
        <f>A38</f>
        <v>28</v>
      </c>
      <c r="G2" s="16">
        <f>SUM(G3:G4)</f>
        <v>319</v>
      </c>
      <c r="H2" s="13"/>
      <c r="I2" s="13"/>
    </row>
    <row r="3" spans="1:16" ht="30" customHeight="1" x14ac:dyDescent="0.3">
      <c r="A3" s="13"/>
      <c r="B3" s="14" t="s">
        <v>1078</v>
      </c>
      <c r="C3" s="14"/>
      <c r="D3" s="13"/>
      <c r="E3" s="16" t="s">
        <v>1079</v>
      </c>
      <c r="F3" s="17">
        <v>18</v>
      </c>
      <c r="G3" s="16">
        <f>COUNTIFS('DP və TP'!J:J,"Əsas icraçı",'DP və TP'!$AD:$AD,"&lt;=2")</f>
        <v>159</v>
      </c>
      <c r="H3" s="13"/>
      <c r="I3" s="13"/>
    </row>
    <row r="4" spans="1:16" ht="30" customHeight="1" x14ac:dyDescent="0.3">
      <c r="A4" s="13"/>
      <c r="B4" s="14" t="s">
        <v>1080</v>
      </c>
      <c r="C4" s="14"/>
      <c r="D4" s="13"/>
      <c r="E4" s="16" t="s">
        <v>1081</v>
      </c>
      <c r="F4" s="18">
        <v>19</v>
      </c>
      <c r="G4" s="16">
        <f>COUNTIFS('DP və TP'!J:J,"Digər icraçı",'DP və TP'!$AD:$AD,"&lt;=2")</f>
        <v>160</v>
      </c>
      <c r="H4" s="13"/>
      <c r="I4" s="13"/>
    </row>
    <row r="5" spans="1:16" ht="15" customHeight="1" x14ac:dyDescent="0.3">
      <c r="A5" s="13"/>
      <c r="B5" s="14" t="s">
        <v>1082</v>
      </c>
      <c r="C5" s="14"/>
      <c r="D5" s="13"/>
      <c r="E5" s="13"/>
      <c r="F5" s="13"/>
      <c r="G5" s="13"/>
      <c r="H5" s="13"/>
      <c r="I5" s="13"/>
    </row>
    <row r="8" spans="1:16" ht="15.75" customHeight="1" x14ac:dyDescent="0.3"/>
    <row r="9" spans="1:16" ht="35.25" customHeight="1" x14ac:dyDescent="0.3">
      <c r="A9" s="154" t="s">
        <v>1083</v>
      </c>
      <c r="B9" s="155" t="s">
        <v>1084</v>
      </c>
      <c r="C9" s="158" t="s">
        <v>1085</v>
      </c>
      <c r="D9" s="157" t="s">
        <v>1086</v>
      </c>
      <c r="E9" s="157"/>
      <c r="F9" s="157"/>
      <c r="G9" s="157"/>
      <c r="H9" s="157"/>
      <c r="I9" s="157"/>
      <c r="J9" s="152" t="s">
        <v>1087</v>
      </c>
      <c r="K9" s="152"/>
      <c r="L9" s="152"/>
      <c r="M9" s="152"/>
      <c r="N9" s="152"/>
      <c r="O9" s="152"/>
      <c r="P9" s="152"/>
    </row>
    <row r="10" spans="1:16" ht="61.5" customHeight="1" x14ac:dyDescent="0.3">
      <c r="A10" s="154"/>
      <c r="B10" s="155"/>
      <c r="C10" s="158"/>
      <c r="D10" s="70" t="s">
        <v>43</v>
      </c>
      <c r="E10" s="21" t="s">
        <v>42</v>
      </c>
      <c r="F10" s="21" t="s">
        <v>79</v>
      </c>
      <c r="G10" s="21" t="s">
        <v>185</v>
      </c>
      <c r="H10" s="21" t="s">
        <v>75</v>
      </c>
      <c r="I10" s="21" t="s">
        <v>91</v>
      </c>
      <c r="J10" s="2" t="s">
        <v>43</v>
      </c>
      <c r="K10" s="2" t="s">
        <v>42</v>
      </c>
      <c r="L10" s="2" t="s">
        <v>79</v>
      </c>
      <c r="M10" s="2" t="s">
        <v>185</v>
      </c>
      <c r="N10" s="2" t="s">
        <v>75</v>
      </c>
      <c r="O10" s="2" t="s">
        <v>91</v>
      </c>
      <c r="P10" s="2" t="s">
        <v>1088</v>
      </c>
    </row>
    <row r="11" spans="1:16" ht="36.75" customHeight="1" x14ac:dyDescent="0.3">
      <c r="A11" s="22">
        <v>1</v>
      </c>
      <c r="B11" s="23" t="s">
        <v>278</v>
      </c>
      <c r="C11" s="35">
        <f>COUNTIFS('DP və TP'!$B:$B,B11,'DP və TP'!$AD:$AD,"&lt;=2")</f>
        <v>12</v>
      </c>
      <c r="D11" s="71">
        <f>COUNTIFS('DP və TP'!$B:$B,B11,'DP və TP'!$Y:$Y,"Tam icra",'DP və TP'!$AD:$AD,"&lt;=2")</f>
        <v>4</v>
      </c>
      <c r="E11" s="72">
        <f>COUNTIFS('DP və TP'!$B:$B,B11,
'DP və TP'!$Y:$Y,"Qismən icra",'DP və TP'!$AD:$AD,"&lt;=2")</f>
        <v>3</v>
      </c>
      <c r="F11" s="72">
        <f>COUNTIFS('DP və TP'!$B:$B,B11,
'DP və TP'!$Y:$Y,"İcra müddətinə var",'DP və TP'!$AD:$AD,"&lt;=2")</f>
        <v>1</v>
      </c>
      <c r="G11" s="72">
        <f>COUNTIFS('DP və TP'!$B:$B,B11,
'DP və TP'!$Y:$Y,"Gecikmə",'DP və TP'!$AD:$AD,"&lt;=2")</f>
        <v>0</v>
      </c>
      <c r="H11" s="72">
        <f>COUNTIFS('DP və TP'!$B:$B,B11,
'DP və TP'!$Y:$Y,"İcra olunmayıb",'DP və TP'!$AD:$AD,"&lt;=2")</f>
        <v>1</v>
      </c>
      <c r="I11" s="26">
        <f>COUNTIFS('DP və TP'!$B:$B,B11,
'DP və TP'!$Y:$Y,"İcra olunmayıb, prioritet deyil",'DP və TP'!$AD:$AD,"&lt;=2")</f>
        <v>3</v>
      </c>
      <c r="J11" s="28">
        <f>COUNTIFS('DP və TP'!$B:$B,B11,
'DP və TP'!$K:$K,"Tapşırıqların İcrasına Nəzarət platforması üzrə",
'DP və TP'!$Y:$Y,"Tam icra",'DP və TP'!$AD:$AD,"&lt;=2")</f>
        <v>2</v>
      </c>
      <c r="K11" s="28">
        <f>COUNTIFS('DP və TP'!$B:$B,B11,
'DP və TP'!$K:$K,"Tapşırıqların İcrasına Nəzarət platforması üzrə",
'DP və TP'!$Y:$Y,"Qismən icra",'DP və TP'!$AD:$AD,"&lt;=2")</f>
        <v>0</v>
      </c>
      <c r="L11" s="28">
        <f>COUNTIFS('DP və TP'!$B:$B,B11,
'DP və TP'!$K:$K,"Tapşırıqların İcrasına Nəzarət platforması üzrə",
'DP və TP'!$Y:$Y,"İcra müddətinə var",'DP və TP'!$AD:$AD,"&lt;=2")</f>
        <v>0</v>
      </c>
      <c r="M11" s="28">
        <f>COUNTIFS('DP və TP'!$B:$B,B11,
'DP və TP'!$K:$K,"Tapşırıqların İcrasına Nəzarət platforması üzrə",
'DP və TP'!$Y:$Y,"Gecikmə",'DP və TP'!$AD:$AD,"&lt;=2")</f>
        <v>0</v>
      </c>
      <c r="N11" s="28">
        <f>COUNTIFS('DP və TP'!$B:$B,B11,
'DP və TP'!$K:$K,"Tapşırıqların İcrasına Nəzarət platforması üzrə",
'DP və TP'!$Y:$Y,"İcra olunmayıb",'DP və TP'!$AD:$AD,"&lt;=2")</f>
        <v>0</v>
      </c>
      <c r="O11" s="29">
        <f>COUNTIFS('DP və TP'!$B:$B,B11,
'DP və TP'!$K:$K,"Tapşırıqların İcrasına Nəzarət platforması üzrə",
'DP və TP'!$Y:$Y,"İcra olunmayıb, prioritet deyil",'DP və TP'!$AD:$AD,"&lt;=2")</f>
        <v>0</v>
      </c>
      <c r="P11" s="73">
        <f t="shared" ref="P11:P38" si="0">SUM(J11:O11)</f>
        <v>2</v>
      </c>
    </row>
    <row r="12" spans="1:16" ht="36.75" customHeight="1" x14ac:dyDescent="0.3">
      <c r="A12" s="22">
        <v>2</v>
      </c>
      <c r="B12" s="23" t="s">
        <v>523</v>
      </c>
      <c r="C12" s="35">
        <f>COUNTIFS('DP və TP'!$B:$B,B12,'DP və TP'!$AD:$AD,"&lt;=2")</f>
        <v>5</v>
      </c>
      <c r="D12" s="31">
        <f>COUNTIFS('DP və TP'!$B:$B,B12,'DP və TP'!$Y:$Y,"Tam icra",'DP və TP'!$AD:$AD,"&lt;=2")</f>
        <v>0</v>
      </c>
      <c r="E12" s="32">
        <f>COUNTIFS('DP və TP'!$B:$B,B12,
'DP və TP'!$Y:$Y,"Qismən icra",'DP və TP'!$AD:$AD,"&lt;=2")</f>
        <v>1</v>
      </c>
      <c r="F12" s="32">
        <f>COUNTIFS('DP və TP'!$B:$B,B12,
'DP və TP'!$Y:$Y,"İcra müddətinə var",'DP və TP'!$AD:$AD,"&lt;=2")</f>
        <v>3</v>
      </c>
      <c r="G12" s="32">
        <f>COUNTIFS('DP və TP'!$B:$B,B12,
'DP və TP'!$Y:$Y,"Gecikmə",'DP və TP'!$AD:$AD,"&lt;=2")</f>
        <v>0</v>
      </c>
      <c r="H12" s="32">
        <f>COUNTIFS('DP və TP'!$B:$B,B12,
'DP və TP'!$Y:$Y,"İcra olunmayıb",'DP və TP'!$AD:$AD,"&lt;=2")</f>
        <v>0</v>
      </c>
      <c r="I12" s="32">
        <f>COUNTIFS('DP və TP'!$B:$B,B12,
'DP və TP'!$Y:$Y,"İcra olunmayıb, prioritet deyil",'DP və TP'!$AD:$AD,"&lt;=2")</f>
        <v>1</v>
      </c>
      <c r="J12" s="28">
        <f>COUNTIFS('DP və TP'!$B:$B,B12,
'DP və TP'!$K:$K,"Tapşırıqların İcrasına Nəzarət platforması üzrə",
'DP və TP'!$Y:$Y,"Tam icra",'DP və TP'!$AD:$AD,"&lt;=2")</f>
        <v>0</v>
      </c>
      <c r="K12" s="28">
        <f>COUNTIFS('DP və TP'!$B:$B,B12,
'DP və TP'!$K:$K,"Tapşırıqların İcrasına Nəzarət platforması üzrə",
'DP və TP'!$Y:$Y,"Qismən icra",'DP və TP'!$AD:$AD,"&lt;=2")</f>
        <v>1</v>
      </c>
      <c r="L12" s="28">
        <f>COUNTIFS('DP və TP'!$B:$B,B12,
'DP və TP'!$K:$K,"Tapşırıqların İcrasına Nəzarət platforması üzrə",
'DP və TP'!$Y:$Y,"İcra müddətinə var",'DP və TP'!$AD:$AD,"&lt;=2")</f>
        <v>1</v>
      </c>
      <c r="M12" s="28">
        <f>COUNTIFS('DP və TP'!$B:$B,B12,
'DP və TP'!$K:$K,"Tapşırıqların İcrasına Nəzarət platforması üzrə",
'DP və TP'!$Y:$Y,"Gecikmə",'DP və TP'!$AD:$AD,"&lt;=2")</f>
        <v>0</v>
      </c>
      <c r="N12" s="28">
        <f>COUNTIFS('DP və TP'!$B:$B,B12,
'DP və TP'!$K:$K,"Tapşırıqların İcrasına Nəzarət platforması üzrə",
'DP və TP'!$Y:$Y,"İcra olunmayıb",'DP və TP'!$AD:$AD,"&lt;=2")</f>
        <v>0</v>
      </c>
      <c r="O12" s="29">
        <f>COUNTIFS('DP və TP'!$B:$B,B12,
'DP və TP'!$K:$K,"Tapşırıqların İcrasına Nəzarət platforması üzrə",
'DP və TP'!$Y:$Y,"İcra olunmayıb, prioritet deyil",'DP və TP'!$AD:$AD,"&lt;=2")</f>
        <v>0</v>
      </c>
      <c r="P12" s="73">
        <f t="shared" si="0"/>
        <v>2</v>
      </c>
    </row>
    <row r="13" spans="1:16" ht="78" customHeight="1" x14ac:dyDescent="0.3">
      <c r="A13" s="22">
        <v>3</v>
      </c>
      <c r="B13" s="23" t="s">
        <v>436</v>
      </c>
      <c r="C13" s="35">
        <f>COUNTIFS('DP və TP'!$B:$B,B13,'DP və TP'!$AD:$AD,"&lt;=2")</f>
        <v>1</v>
      </c>
      <c r="D13" s="31">
        <f>COUNTIFS('DP və TP'!$B:$B,B13,'DP və TP'!$Y:$Y,"Tam icra",'DP və TP'!$AD:$AD,"&lt;=2")</f>
        <v>0</v>
      </c>
      <c r="E13" s="32">
        <f>COUNTIFS('DP və TP'!$B:$B,B13,
'DP və TP'!$Y:$Y,"Qismən icra",'DP və TP'!$AD:$AD,"&lt;=2")</f>
        <v>0</v>
      </c>
      <c r="F13" s="32">
        <f>COUNTIFS('DP və TP'!$B:$B,B13,
'DP və TP'!$Y:$Y,"İcra müddətinə var",'DP və TP'!$AD:$AD,"&lt;=2")</f>
        <v>0</v>
      </c>
      <c r="G13" s="32">
        <f>COUNTIFS('DP və TP'!$B:$B,B13,
'DP və TP'!$Y:$Y,"Gecikmə",'DP və TP'!$AD:$AD,"&lt;=2")</f>
        <v>0</v>
      </c>
      <c r="H13" s="32">
        <f>COUNTIFS('DP və TP'!$B:$B,B13,
'DP və TP'!$Y:$Y,"İcra olunmayıb",'DP və TP'!$AD:$AD,"&lt;=2")</f>
        <v>0</v>
      </c>
      <c r="I13" s="32">
        <f>COUNTIFS('DP və TP'!$B:$B,B13,
'DP və TP'!$Y:$Y,"İcra olunmayıb, prioritet deyil",'DP və TP'!$AD:$AD,"&lt;=2")</f>
        <v>1</v>
      </c>
      <c r="J13" s="28">
        <f>COUNTIFS('DP və TP'!$B:$B,B13,
'DP və TP'!$K:$K,"Tapşırıqların İcrasına Nəzarət platforması üzrə",
'DP və TP'!$Y:$Y,"Tam icra",'DP və TP'!$AD:$AD,"&lt;=2")</f>
        <v>0</v>
      </c>
      <c r="K13" s="28">
        <f>COUNTIFS('DP və TP'!$B:$B,B13,
'DP və TP'!$K:$K,"Tapşırıqların İcrasına Nəzarət platforması üzrə",
'DP və TP'!$Y:$Y,"Qismən icra",'DP və TP'!$AD:$AD,"&lt;=2")</f>
        <v>0</v>
      </c>
      <c r="L13" s="28">
        <f>COUNTIFS('DP və TP'!$B:$B,B13,
'DP və TP'!$K:$K,"Tapşırıqların İcrasına Nəzarət platforması üzrə",
'DP və TP'!$Y:$Y,"İcra müddətinə var",'DP və TP'!$AD:$AD,"&lt;=2")</f>
        <v>0</v>
      </c>
      <c r="M13" s="28">
        <f>COUNTIFS('DP və TP'!$B:$B,B13,
'DP və TP'!$K:$K,"Tapşırıqların İcrasına Nəzarət platforması üzrə",
'DP və TP'!$Y:$Y,"Gecikmə",'DP və TP'!$AD:$AD,"&lt;=2")</f>
        <v>0</v>
      </c>
      <c r="N13" s="28">
        <f>COUNTIFS('DP və TP'!$B:$B,B13,
'DP və TP'!$K:$K,"Tapşırıqların İcrasına Nəzarət platforması üzrə",
'DP və TP'!$Y:$Y,"İcra olunmayıb",'DP və TP'!$AD:$AD,"&lt;=2")</f>
        <v>0</v>
      </c>
      <c r="O13" s="29">
        <f>COUNTIFS('DP və TP'!$B:$B,B13,
'DP və TP'!$K:$K,"Tapşırıqların İcrasına Nəzarət platforması üzrə",
'DP və TP'!$Y:$Y,"İcra olunmayıb, prioritet deyil",'DP və TP'!$AD:$AD,"&lt;=2")</f>
        <v>1</v>
      </c>
      <c r="P13" s="73">
        <f t="shared" si="0"/>
        <v>1</v>
      </c>
    </row>
    <row r="14" spans="1:16" ht="50.25" customHeight="1" x14ac:dyDescent="0.3">
      <c r="A14" s="22">
        <v>4</v>
      </c>
      <c r="B14" s="23" t="s">
        <v>309</v>
      </c>
      <c r="C14" s="35">
        <f>COUNTIFS('DP və TP'!$B:$B,B14,'DP və TP'!$AD:$AD,"&lt;=2")</f>
        <v>7</v>
      </c>
      <c r="D14" s="31">
        <f>COUNTIFS('DP və TP'!$B:$B,B14,'DP və TP'!$Y:$Y,"Tam icra",'DP və TP'!$AD:$AD,"&lt;=2")</f>
        <v>2</v>
      </c>
      <c r="E14" s="32">
        <f>COUNTIFS('DP və TP'!$B:$B,B14,
'DP və TP'!$Y:$Y,"Qismən icra",'DP və TP'!$AD:$AD,"&lt;=2")</f>
        <v>0</v>
      </c>
      <c r="F14" s="32">
        <f>COUNTIFS('DP və TP'!$B:$B,B14,
'DP və TP'!$Y:$Y,"İcra müddətinə var",'DP və TP'!$AD:$AD,"&lt;=2")</f>
        <v>4</v>
      </c>
      <c r="G14" s="32">
        <f>COUNTIFS('DP və TP'!$B:$B,B14,
'DP və TP'!$Y:$Y,"Gecikmə",'DP və TP'!$AD:$AD,"&lt;=2")</f>
        <v>0</v>
      </c>
      <c r="H14" s="32">
        <f>COUNTIFS('DP və TP'!$B:$B,B14,
'DP və TP'!$Y:$Y,"İcra olunmayıb",'DP və TP'!$AD:$AD,"&lt;=2")</f>
        <v>0</v>
      </c>
      <c r="I14" s="32">
        <f>COUNTIFS('DP və TP'!$B:$B,B14,
'DP və TP'!$Y:$Y,"İcra olunmayıb, prioritet deyil",'DP və TP'!$AD:$AD,"&lt;=2")</f>
        <v>1</v>
      </c>
      <c r="J14" s="28">
        <f>COUNTIFS('DP və TP'!$B:$B,B14,
'DP və TP'!$K:$K,"Tapşırıqların İcrasına Nəzarət platforması üzrə",
'DP və TP'!$Y:$Y,"Tam icra",'DP və TP'!$AD:$AD,"&lt;=2")</f>
        <v>0</v>
      </c>
      <c r="K14" s="28">
        <f>COUNTIFS('DP və TP'!$B:$B,B14,
'DP və TP'!$K:$K,"Tapşırıqların İcrasına Nəzarət platforması üzrə",
'DP və TP'!$Y:$Y,"Qismən icra",'DP və TP'!$AD:$AD,"&lt;=2")</f>
        <v>0</v>
      </c>
      <c r="L14" s="28">
        <f>COUNTIFS('DP və TP'!$B:$B,B14,
'DP və TP'!$K:$K,"Tapşırıqların İcrasına Nəzarət platforması üzrə",
'DP və TP'!$Y:$Y,"İcra müddətinə var",'DP və TP'!$AD:$AD,"&lt;=2")</f>
        <v>0</v>
      </c>
      <c r="M14" s="28">
        <f>COUNTIFS('DP və TP'!$B:$B,B14,
'DP və TP'!$K:$K,"Tapşırıqların İcrasına Nəzarət platforması üzrə",
'DP və TP'!$Y:$Y,"Gecikmə",'DP və TP'!$AD:$AD,"&lt;=2")</f>
        <v>0</v>
      </c>
      <c r="N14" s="28">
        <f>COUNTIFS('DP və TP'!$B:$B,B14,
'DP və TP'!$K:$K,"Tapşırıqların İcrasına Nəzarət platforması üzrə",
'DP və TP'!$Y:$Y,"İcra olunmayıb",'DP və TP'!$AD:$AD,"&lt;=2")</f>
        <v>0</v>
      </c>
      <c r="O14" s="29">
        <f>COUNTIFS('DP və TP'!$B:$B,B14,
'DP və TP'!$K:$K,"Tapşırıqların İcrasına Nəzarət platforması üzrə",
'DP və TP'!$Y:$Y,"İcra olunmayıb, prioritet deyil",'DP və TP'!$AD:$AD,"&lt;=2")</f>
        <v>0</v>
      </c>
      <c r="P14" s="73">
        <f t="shared" si="0"/>
        <v>0</v>
      </c>
    </row>
    <row r="15" spans="1:16" ht="51" customHeight="1" x14ac:dyDescent="0.3">
      <c r="A15" s="22">
        <v>5</v>
      </c>
      <c r="B15" s="23" t="s">
        <v>146</v>
      </c>
      <c r="C15" s="35">
        <f>COUNTIFS('DP və TP'!$B:$B,B15,'DP və TP'!$AD:$AD,"&lt;=2")</f>
        <v>2</v>
      </c>
      <c r="D15" s="31">
        <f>COUNTIFS('DP və TP'!$B:$B,B15,'DP və TP'!$Y:$Y,"Tam icra",'DP və TP'!$AD:$AD,"&lt;=2")</f>
        <v>2</v>
      </c>
      <c r="E15" s="32">
        <f>COUNTIFS('DP və TP'!$B:$B,B15,
'DP və TP'!$Y:$Y,"Qismən icra",'DP və TP'!$AD:$AD,"&lt;=2")</f>
        <v>0</v>
      </c>
      <c r="F15" s="32">
        <f>COUNTIFS('DP və TP'!$B:$B,B15,
'DP və TP'!$Y:$Y,"İcra müddətinə var",'DP və TP'!$AD:$AD,"&lt;=2")</f>
        <v>0</v>
      </c>
      <c r="G15" s="32">
        <f>COUNTIFS('DP və TP'!$B:$B,B15,
'DP və TP'!$Y:$Y,"Gecikmə",'DP və TP'!$AD:$AD,"&lt;=2")</f>
        <v>0</v>
      </c>
      <c r="H15" s="32">
        <f>COUNTIFS('DP və TP'!$B:$B,B15,
'DP və TP'!$Y:$Y,"İcra olunmayıb",'DP və TP'!$AD:$AD,"&lt;=2")</f>
        <v>0</v>
      </c>
      <c r="I15" s="32">
        <f>COUNTIFS('DP və TP'!$B:$B,B15,
'DP və TP'!$Y:$Y,"İcra olunmayıb, prioritet deyil",'DP və TP'!$AD:$AD,"&lt;=2")</f>
        <v>0</v>
      </c>
      <c r="J15" s="28">
        <f>COUNTIFS('DP və TP'!$B:$B,B15,
'DP və TP'!$K:$K,"Tapşırıqların İcrasına Nəzarət platforması üzrə",
'DP və TP'!$Y:$Y,"Tam icra",'DP və TP'!$AD:$AD,"&lt;=2")</f>
        <v>1</v>
      </c>
      <c r="K15" s="28">
        <f>COUNTIFS('DP və TP'!$B:$B,B15,
'DP və TP'!$K:$K,"Tapşırıqların İcrasına Nəzarət platforması üzrə",
'DP və TP'!$Y:$Y,"Qismən icra",'DP və TP'!$AD:$AD,"&lt;=2")</f>
        <v>0</v>
      </c>
      <c r="L15" s="28">
        <f>COUNTIFS('DP və TP'!$B:$B,B15,
'DP və TP'!$K:$K,"Tapşırıqların İcrasına Nəzarət platforması üzrə",
'DP və TP'!$Y:$Y,"İcra müddətinə var",'DP və TP'!$AD:$AD,"&lt;=2")</f>
        <v>0</v>
      </c>
      <c r="M15" s="28">
        <f>COUNTIFS('DP və TP'!$B:$B,B15,
'DP və TP'!$K:$K,"Tapşırıqların İcrasına Nəzarət platforması üzrə",
'DP və TP'!$Y:$Y,"Gecikmə",'DP və TP'!$AD:$AD,"&lt;=2")</f>
        <v>0</v>
      </c>
      <c r="N15" s="28">
        <f>COUNTIFS('DP və TP'!$B:$B,B15,
'DP və TP'!$K:$K,"Tapşırıqların İcrasına Nəzarət platforması üzrə",
'DP və TP'!$Y:$Y,"İcra olunmayıb",'DP və TP'!$AD:$AD,"&lt;=2")</f>
        <v>0</v>
      </c>
      <c r="O15" s="29">
        <f>COUNTIFS('DP və TP'!$B:$B,B15,
'DP və TP'!$K:$K,"Tapşırıqların İcrasına Nəzarət platforması üzrə",
'DP və TP'!$Y:$Y,"İcra olunmayıb, prioritet deyil",'DP və TP'!$AD:$AD,"&lt;=2")</f>
        <v>0</v>
      </c>
      <c r="P15" s="73">
        <f t="shared" si="0"/>
        <v>1</v>
      </c>
    </row>
    <row r="16" spans="1:16" ht="39" customHeight="1" x14ac:dyDescent="0.3">
      <c r="A16" s="22">
        <v>6</v>
      </c>
      <c r="B16" s="23" t="s">
        <v>442</v>
      </c>
      <c r="C16" s="35">
        <f>COUNTIFS('DP və TP'!$B:$B,B16,'DP və TP'!$AD:$AD,"&lt;=2")</f>
        <v>5</v>
      </c>
      <c r="D16" s="31">
        <f>COUNTIFS('DP və TP'!$B:$B,B16,'DP və TP'!$Y:$Y,"Tam icra",'DP və TP'!$AD:$AD,"&lt;=2")</f>
        <v>0</v>
      </c>
      <c r="E16" s="32">
        <f>COUNTIFS('DP və TP'!$B:$B,B16,
'DP və TP'!$Y:$Y,"Qismən icra",'DP və TP'!$AD:$AD,"&lt;=2")</f>
        <v>0</v>
      </c>
      <c r="F16" s="32">
        <f>COUNTIFS('DP və TP'!$B:$B,B16,
'DP və TP'!$Y:$Y,"İcra müddətinə var",'DP və TP'!$AD:$AD,"&lt;=2")</f>
        <v>4</v>
      </c>
      <c r="G16" s="32">
        <f>COUNTIFS('DP və TP'!$B:$B,B16,
'DP və TP'!$Y:$Y,"Gecikmə",'DP və TP'!$AD:$AD,"&lt;=2")</f>
        <v>1</v>
      </c>
      <c r="H16" s="32">
        <f>COUNTIFS('DP və TP'!$B:$B,B16,
'DP və TP'!$Y:$Y,"İcra olunmayıb",'DP və TP'!$AD:$AD,"&lt;=2")</f>
        <v>0</v>
      </c>
      <c r="I16" s="32">
        <f>COUNTIFS('DP və TP'!$B:$B,B16,
'DP və TP'!$Y:$Y,"İcra olunmayıb, prioritet deyil",'DP və TP'!$AD:$AD,"&lt;=2")</f>
        <v>0</v>
      </c>
      <c r="J16" s="28">
        <f>COUNTIFS('DP və TP'!$B:$B,B16,
'DP və TP'!$K:$K,"Tapşırıqların İcrasına Nəzarət platforması üzrə",
'DP və TP'!$Y:$Y,"Tam icra",'DP və TP'!$AD:$AD,"&lt;=2")</f>
        <v>0</v>
      </c>
      <c r="K16" s="28">
        <f>COUNTIFS('DP və TP'!$B:$B,B16,
'DP və TP'!$K:$K,"Tapşırıqların İcrasına Nəzarət platforması üzrə",
'DP və TP'!$Y:$Y,"Qismən icra",'DP və TP'!$AD:$AD,"&lt;=2")</f>
        <v>0</v>
      </c>
      <c r="L16" s="28">
        <f>COUNTIFS('DP və TP'!$B:$B,B16,
'DP və TP'!$K:$K,"Tapşırıqların İcrasına Nəzarət platforması üzrə",
'DP və TP'!$Y:$Y,"İcra müddətinə var",'DP və TP'!$AD:$AD,"&lt;=2")</f>
        <v>0</v>
      </c>
      <c r="M16" s="28">
        <f>COUNTIFS('DP və TP'!$B:$B,B16,
'DP və TP'!$K:$K,"Tapşırıqların İcrasına Nəzarət platforması üzrə",
'DP və TP'!$Y:$Y,"Gecikmə",'DP və TP'!$AD:$AD,"&lt;=2")</f>
        <v>0</v>
      </c>
      <c r="N16" s="28">
        <f>COUNTIFS('DP və TP'!$B:$B,B16,
'DP və TP'!$K:$K,"Tapşırıqların İcrasına Nəzarət platforması üzrə",
'DP və TP'!$Y:$Y,"İcra olunmayıb",'DP və TP'!$AD:$AD,"&lt;=2")</f>
        <v>0</v>
      </c>
      <c r="O16" s="29">
        <f>COUNTIFS('DP və TP'!$B:$B,B16,
'DP və TP'!$K:$K,"Tapşırıqların İcrasına Nəzarət platforması üzrə",
'DP və TP'!$Y:$Y,"İcra olunmayıb, prioritet deyil",'DP və TP'!$AD:$AD,"&lt;=2")</f>
        <v>0</v>
      </c>
      <c r="P16" s="73">
        <f t="shared" si="0"/>
        <v>0</v>
      </c>
    </row>
    <row r="17" spans="1:16" ht="35.25" customHeight="1" x14ac:dyDescent="0.3">
      <c r="A17" s="22">
        <v>7</v>
      </c>
      <c r="B17" s="23" t="s">
        <v>412</v>
      </c>
      <c r="C17" s="35">
        <f>COUNTIFS('DP və TP'!$B:$B,B17,'DP və TP'!$AD:$AD,"&lt;=2")</f>
        <v>6</v>
      </c>
      <c r="D17" s="31">
        <f>COUNTIFS('DP və TP'!$B:$B,B17,'DP və TP'!$Y:$Y,"Tam icra",'DP və TP'!$AD:$AD,"&lt;=2")</f>
        <v>1</v>
      </c>
      <c r="E17" s="32">
        <f>COUNTIFS('DP və TP'!$B:$B,B17,
'DP və TP'!$Y:$Y,"Qismən icra",'DP və TP'!$AD:$AD,"&lt;=2")</f>
        <v>1</v>
      </c>
      <c r="F17" s="32">
        <f>COUNTIFS('DP və TP'!$B:$B,B17,
'DP və TP'!$Y:$Y,"İcra müddətinə var",'DP və TP'!$AD:$AD,"&lt;=2")</f>
        <v>3</v>
      </c>
      <c r="G17" s="32">
        <f>COUNTIFS('DP və TP'!$B:$B,B17,
'DP və TP'!$Y:$Y,"Gecikmə",'DP və TP'!$AD:$AD,"&lt;=2")</f>
        <v>0</v>
      </c>
      <c r="H17" s="32">
        <f>COUNTIFS('DP və TP'!$B:$B,B17,
'DP və TP'!$Y:$Y,"İcra olunmayıb",'DP və TP'!$AD:$AD,"&lt;=2")</f>
        <v>0</v>
      </c>
      <c r="I17" s="32">
        <f>COUNTIFS('DP və TP'!$B:$B,B17,
'DP və TP'!$Y:$Y,"İcra olunmayıb, prioritet deyil",'DP və TP'!$AD:$AD,"&lt;=2")</f>
        <v>1</v>
      </c>
      <c r="J17" s="28">
        <f>COUNTIFS('DP və TP'!$B:$B,B17,
'DP və TP'!$K:$K,"Tapşırıqların İcrasına Nəzarət platforması üzrə",
'DP və TP'!$Y:$Y,"Tam icra",'DP və TP'!$AD:$AD,"&lt;=2")</f>
        <v>1</v>
      </c>
      <c r="K17" s="28">
        <f>COUNTIFS('DP və TP'!$B:$B,B17,
'DP və TP'!$K:$K,"Tapşırıqların İcrasına Nəzarət platforması üzrə",
'DP və TP'!$Y:$Y,"Qismən icra",'DP və TP'!$AD:$AD,"&lt;=2")</f>
        <v>1</v>
      </c>
      <c r="L17" s="28">
        <f>COUNTIFS('DP və TP'!$B:$B,B17,
'DP və TP'!$K:$K,"Tapşırıqların İcrasına Nəzarət platforması üzrə",
'DP və TP'!$Y:$Y,"İcra müddətinə var",'DP və TP'!$AD:$AD,"&lt;=2")</f>
        <v>2</v>
      </c>
      <c r="M17" s="28">
        <f>COUNTIFS('DP və TP'!$B:$B,B17,
'DP və TP'!$K:$K,"Tapşırıqların İcrasına Nəzarət platforması üzrə",
'DP və TP'!$Y:$Y,"Gecikmə",'DP və TP'!$AD:$AD,"&lt;=2")</f>
        <v>0</v>
      </c>
      <c r="N17" s="28">
        <f>COUNTIFS('DP və TP'!$B:$B,B17,
'DP və TP'!$K:$K,"Tapşırıqların İcrasına Nəzarət platforması üzrə",
'DP və TP'!$Y:$Y,"İcra olunmayıb",'DP və TP'!$AD:$AD,"&lt;=2")</f>
        <v>0</v>
      </c>
      <c r="O17" s="29">
        <f>COUNTIFS('DP və TP'!$B:$B,B17,
'DP və TP'!$K:$K,"Tapşırıqların İcrasına Nəzarət platforması üzrə",
'DP və TP'!$Y:$Y,"İcra olunmayıb, prioritet deyil",'DP və TP'!$AD:$AD,"&lt;=2")</f>
        <v>1</v>
      </c>
      <c r="P17" s="73">
        <f t="shared" si="0"/>
        <v>5</v>
      </c>
    </row>
    <row r="18" spans="1:16" ht="49.5" customHeight="1" x14ac:dyDescent="0.3">
      <c r="A18" s="22">
        <v>8</v>
      </c>
      <c r="B18" s="23" t="s">
        <v>341</v>
      </c>
      <c r="C18" s="35">
        <f>COUNTIFS('DP və TP'!$B:$B,B18,'DP və TP'!$AD:$AD,"&lt;=2")</f>
        <v>1</v>
      </c>
      <c r="D18" s="31">
        <f>COUNTIFS('DP və TP'!$B:$B,B18,'DP və TP'!$Y:$Y,"Tam icra",'DP və TP'!$AD:$AD,"&lt;=2")</f>
        <v>1</v>
      </c>
      <c r="E18" s="32">
        <f>COUNTIFS('DP və TP'!$B:$B,B18,
'DP və TP'!$Y:$Y,"Qismən icra",'DP və TP'!$AD:$AD,"&lt;=2")</f>
        <v>0</v>
      </c>
      <c r="F18" s="32">
        <f>COUNTIFS('DP və TP'!$B:$B,B18,
'DP və TP'!$Y:$Y,"İcra müddətinə var",'DP və TP'!$AD:$AD,"&lt;=2")</f>
        <v>0</v>
      </c>
      <c r="G18" s="32">
        <f>COUNTIFS('DP və TP'!$B:$B,B18,
'DP və TP'!$Y:$Y,"Gecikmə",'DP və TP'!$AD:$AD,"&lt;=2")</f>
        <v>0</v>
      </c>
      <c r="H18" s="32">
        <f>COUNTIFS('DP və TP'!$B:$B,B18,
'DP və TP'!$Y:$Y,"İcra olunmayıb",'DP və TP'!$AD:$AD,"&lt;=2")</f>
        <v>0</v>
      </c>
      <c r="I18" s="32">
        <f>COUNTIFS('DP və TP'!$B:$B,B18,
'DP və TP'!$Y:$Y,"İcra olunmayıb, prioritet deyil",'DP və TP'!$AD:$AD,"&lt;=2")</f>
        <v>0</v>
      </c>
      <c r="J18" s="28">
        <f>COUNTIFS('DP və TP'!$B:$B,B18,
'DP və TP'!$K:$K,"Tapşırıqların İcrasına Nəzarət platforması üzrə",
'DP və TP'!$Y:$Y,"Tam icra",'DP və TP'!$AD:$AD,"&lt;=2")</f>
        <v>0</v>
      </c>
      <c r="K18" s="28">
        <f>COUNTIFS('DP və TP'!$B:$B,B18,
'DP və TP'!$K:$K,"Tapşırıqların İcrasına Nəzarət platforması üzrə",
'DP və TP'!$Y:$Y,"Qismən icra",'DP və TP'!$AD:$AD,"&lt;=2")</f>
        <v>0</v>
      </c>
      <c r="L18" s="28">
        <f>COUNTIFS('DP və TP'!$B:$B,B18,
'DP və TP'!$K:$K,"Tapşırıqların İcrasına Nəzarət platforması üzrə",
'DP və TP'!$Y:$Y,"İcra müddətinə var",'DP və TP'!$AD:$AD,"&lt;=2")</f>
        <v>0</v>
      </c>
      <c r="M18" s="28">
        <f>COUNTIFS('DP və TP'!$B:$B,B18,
'DP və TP'!$K:$K,"Tapşırıqların İcrasına Nəzarət platforması üzrə",
'DP və TP'!$Y:$Y,"Gecikmə",'DP və TP'!$AD:$AD,"&lt;=2")</f>
        <v>0</v>
      </c>
      <c r="N18" s="28">
        <f>COUNTIFS('DP və TP'!$B:$B,B18,
'DP və TP'!$K:$K,"Tapşırıqların İcrasına Nəzarət platforması üzrə",
'DP və TP'!$Y:$Y,"İcra olunmayıb",'DP və TP'!$AD:$AD,"&lt;=2")</f>
        <v>0</v>
      </c>
      <c r="O18" s="29">
        <f>COUNTIFS('DP və TP'!$B:$B,B18,
'DP və TP'!$K:$K,"Tapşırıqların İcrasına Nəzarət platforması üzrə",
'DP və TP'!$Y:$Y,"İcra olunmayıb, prioritet deyil",'DP və TP'!$AD:$AD,"&lt;=2")</f>
        <v>0</v>
      </c>
      <c r="P18" s="73">
        <f t="shared" si="0"/>
        <v>0</v>
      </c>
    </row>
    <row r="19" spans="1:16" ht="36" customHeight="1" x14ac:dyDescent="0.3">
      <c r="A19" s="22">
        <v>9</v>
      </c>
      <c r="B19" s="23" t="s">
        <v>426</v>
      </c>
      <c r="C19" s="35">
        <f>COUNTIFS('DP və TP'!$B:$B,B19,'DP və TP'!$AD:$AD,"&lt;=2")</f>
        <v>3</v>
      </c>
      <c r="D19" s="31">
        <f>COUNTIFS('DP və TP'!$B:$B,B19,'DP və TP'!$Y:$Y,"Tam icra",'DP və TP'!$AD:$AD,"&lt;=2")</f>
        <v>0</v>
      </c>
      <c r="E19" s="32">
        <f>COUNTIFS('DP və TP'!$B:$B,B19,
'DP və TP'!$Y:$Y,"Qismən icra",'DP və TP'!$AD:$AD,"&lt;=2")</f>
        <v>1</v>
      </c>
      <c r="F19" s="32">
        <f>COUNTIFS('DP və TP'!$B:$B,B19,
'DP və TP'!$Y:$Y,"İcra müddətinə var",'DP və TP'!$AD:$AD,"&lt;=2")</f>
        <v>0</v>
      </c>
      <c r="G19" s="32">
        <f>COUNTIFS('DP və TP'!$B:$B,B19,
'DP və TP'!$Y:$Y,"Gecikmə",'DP və TP'!$AD:$AD,"&lt;=2")</f>
        <v>1</v>
      </c>
      <c r="H19" s="32">
        <f>COUNTIFS('DP və TP'!$B:$B,B19,
'DP və TP'!$Y:$Y,"İcra olunmayıb",'DP və TP'!$AD:$AD,"&lt;=2")</f>
        <v>0</v>
      </c>
      <c r="I19" s="32">
        <f>COUNTIFS('DP və TP'!$B:$B,B19,
'DP və TP'!$Y:$Y,"İcra olunmayıb, prioritet deyil",'DP və TP'!$AD:$AD,"&lt;=2")</f>
        <v>1</v>
      </c>
      <c r="J19" s="28">
        <f>COUNTIFS('DP və TP'!$B:$B,B19,
'DP və TP'!$K:$K,"Tapşırıqların İcrasına Nəzarət platforması üzrə",
'DP və TP'!$Y:$Y,"Tam icra",'DP və TP'!$AD:$AD,"&lt;=2")</f>
        <v>0</v>
      </c>
      <c r="K19" s="28">
        <f>COUNTIFS('DP və TP'!$B:$B,B19,
'DP və TP'!$K:$K,"Tapşırıqların İcrasına Nəzarət platforması üzrə",
'DP və TP'!$Y:$Y,"Qismən icra",'DP və TP'!$AD:$AD,"&lt;=2")</f>
        <v>1</v>
      </c>
      <c r="L19" s="28">
        <f>COUNTIFS('DP və TP'!$B:$B,B19,
'DP və TP'!$K:$K,"Tapşırıqların İcrasına Nəzarət platforması üzrə",
'DP və TP'!$Y:$Y,"İcra müddətinə var",'DP və TP'!$AD:$AD,"&lt;=2")</f>
        <v>0</v>
      </c>
      <c r="M19" s="28">
        <f>COUNTIFS('DP və TP'!$B:$B,B19,
'DP və TP'!$K:$K,"Tapşırıqların İcrasına Nəzarət platforması üzrə",
'DP və TP'!$Y:$Y,"Gecikmə",'DP və TP'!$AD:$AD,"&lt;=2")</f>
        <v>1</v>
      </c>
      <c r="N19" s="28">
        <f>COUNTIFS('DP və TP'!$B:$B,B19,
'DP və TP'!$K:$K,"Tapşırıqların İcrasına Nəzarət platforması üzrə",
'DP və TP'!$Y:$Y,"İcra olunmayıb",'DP və TP'!$AD:$AD,"&lt;=2")</f>
        <v>0</v>
      </c>
      <c r="O19" s="29">
        <f>COUNTIFS('DP və TP'!$B:$B,B19,
'DP və TP'!$K:$K,"Tapşırıqların İcrasına Nəzarət platforması üzrə",
'DP və TP'!$Y:$Y,"İcra olunmayıb, prioritet deyil",'DP və TP'!$AD:$AD,"&lt;=2")</f>
        <v>0</v>
      </c>
      <c r="P19" s="73">
        <f t="shared" si="0"/>
        <v>2</v>
      </c>
    </row>
    <row r="20" spans="1:16" ht="34.5" customHeight="1" x14ac:dyDescent="0.3">
      <c r="A20" s="22">
        <v>10</v>
      </c>
      <c r="B20" s="23" t="s">
        <v>398</v>
      </c>
      <c r="C20" s="35">
        <f>COUNTIFS('DP və TP'!$B:$B,B20,'DP və TP'!$AD:$AD,"&lt;=2")</f>
        <v>6</v>
      </c>
      <c r="D20" s="31">
        <f>COUNTIFS('DP və TP'!$B:$B,B20,'DP və TP'!$Y:$Y,"Tam icra",'DP və TP'!$AD:$AD,"&lt;=2")</f>
        <v>2</v>
      </c>
      <c r="E20" s="32">
        <f>COUNTIFS('DP və TP'!$B:$B,B20,
'DP və TP'!$Y:$Y,"Qismən icra",'DP və TP'!$AD:$AD,"&lt;=2")</f>
        <v>0</v>
      </c>
      <c r="F20" s="32">
        <f>COUNTIFS('DP və TP'!$B:$B,B20,
'DP və TP'!$Y:$Y,"İcra müddətinə var",'DP və TP'!$AD:$AD,"&lt;=2")</f>
        <v>3</v>
      </c>
      <c r="G20" s="32">
        <f>COUNTIFS('DP və TP'!$B:$B,B20,
'DP və TP'!$Y:$Y,"Gecikmə",'DP və TP'!$AD:$AD,"&lt;=2")</f>
        <v>1</v>
      </c>
      <c r="H20" s="32">
        <f>COUNTIFS('DP və TP'!$B:$B,B20,
'DP və TP'!$Y:$Y,"İcra olunmayıb",'DP və TP'!$AD:$AD,"&lt;=2")</f>
        <v>0</v>
      </c>
      <c r="I20" s="32">
        <f>COUNTIFS('DP və TP'!$B:$B,B20,
'DP və TP'!$Y:$Y,"İcra olunmayıb, prioritet deyil",'DP və TP'!$AD:$AD,"&lt;=2")</f>
        <v>0</v>
      </c>
      <c r="J20" s="28">
        <f>COUNTIFS('DP və TP'!$B:$B,B20,
'DP və TP'!$K:$K,"Tapşırıqların İcrasına Nəzarət platforması üzrə",
'DP və TP'!$Y:$Y,"Tam icra",'DP və TP'!$AD:$AD,"&lt;=2")</f>
        <v>0</v>
      </c>
      <c r="K20" s="28">
        <f>COUNTIFS('DP və TP'!$B:$B,B20,
'DP və TP'!$K:$K,"Tapşırıqların İcrasına Nəzarət platforması üzrə",
'DP və TP'!$Y:$Y,"Qismən icra",'DP və TP'!$AD:$AD,"&lt;=2")</f>
        <v>0</v>
      </c>
      <c r="L20" s="28">
        <f>COUNTIFS('DP və TP'!$B:$B,B20,
'DP və TP'!$K:$K,"Tapşırıqların İcrasına Nəzarət platforması üzrə",
'DP və TP'!$Y:$Y,"İcra müddətinə var",'DP və TP'!$AD:$AD,"&lt;=2")</f>
        <v>2</v>
      </c>
      <c r="M20" s="28">
        <f>COUNTIFS('DP və TP'!$B:$B,B20,
'DP və TP'!$K:$K,"Tapşırıqların İcrasına Nəzarət platforması üzrə",
'DP və TP'!$Y:$Y,"Gecikmə",'DP və TP'!$AD:$AD,"&lt;=2")</f>
        <v>1</v>
      </c>
      <c r="N20" s="28">
        <f>COUNTIFS('DP və TP'!$B:$B,B20,
'DP və TP'!$K:$K,"Tapşırıqların İcrasına Nəzarət platforması üzrə",
'DP və TP'!$Y:$Y,"İcra olunmayıb",'DP və TP'!$AD:$AD,"&lt;=2")</f>
        <v>0</v>
      </c>
      <c r="O20" s="29">
        <f>COUNTIFS('DP və TP'!$B:$B,B20,
'DP və TP'!$K:$K,"Tapşırıqların İcrasına Nəzarət platforması üzrə",
'DP və TP'!$Y:$Y,"İcra olunmayıb, prioritet deyil",'DP və TP'!$AD:$AD,"&lt;=2")</f>
        <v>0</v>
      </c>
      <c r="P20" s="73">
        <f t="shared" si="0"/>
        <v>3</v>
      </c>
    </row>
    <row r="21" spans="1:16" ht="39" customHeight="1" x14ac:dyDescent="0.3">
      <c r="A21" s="22">
        <v>11</v>
      </c>
      <c r="B21" s="23" t="s">
        <v>535</v>
      </c>
      <c r="C21" s="35">
        <f>COUNTIFS('DP və TP'!$B:$B,B21,'DP və TP'!$AD:$AD,"&lt;=2")</f>
        <v>3</v>
      </c>
      <c r="D21" s="31">
        <f>COUNTIFS('DP və TP'!$B:$B,B21,'DP və TP'!$Y:$Y,"Tam icra",'DP və TP'!$AD:$AD,"&lt;=2")</f>
        <v>2</v>
      </c>
      <c r="E21" s="32">
        <f>COUNTIFS('DP və TP'!$B:$B,B21,
'DP və TP'!$Y:$Y,"Qismən icra",'DP və TP'!$AD:$AD,"&lt;=2")</f>
        <v>0</v>
      </c>
      <c r="F21" s="32">
        <f>COUNTIFS('DP və TP'!$B:$B,B21,
'DP və TP'!$Y:$Y,"İcra müddətinə var",'DP və TP'!$AD:$AD,"&lt;=2")</f>
        <v>0</v>
      </c>
      <c r="G21" s="32">
        <f>COUNTIFS('DP və TP'!$B:$B,B21,
'DP və TP'!$Y:$Y,"Gecikmə",'DP və TP'!$AD:$AD,"&lt;=2")</f>
        <v>0</v>
      </c>
      <c r="H21" s="32">
        <f>COUNTIFS('DP və TP'!$B:$B,B21,
'DP və TP'!$Y:$Y,"İcra olunmayıb",'DP və TP'!$AD:$AD,"&lt;=2")</f>
        <v>0</v>
      </c>
      <c r="I21" s="32">
        <f>COUNTIFS('DP və TP'!$B:$B,B21,
'DP və TP'!$Y:$Y,"İcra olunmayıb, prioritet deyil",'DP və TP'!$AD:$AD,"&lt;=2")</f>
        <v>1</v>
      </c>
      <c r="J21" s="28">
        <f>COUNTIFS('DP və TP'!$B:$B,B21,
'DP və TP'!$K:$K,"Tapşırıqların İcrasına Nəzarət platforması üzrə",
'DP və TP'!$Y:$Y,"Tam icra",'DP və TP'!$AD:$AD,"&lt;=2")</f>
        <v>0</v>
      </c>
      <c r="K21" s="28">
        <f>COUNTIFS('DP və TP'!$B:$B,B21,
'DP və TP'!$K:$K,"Tapşırıqların İcrasına Nəzarət platforması üzrə",
'DP və TP'!$Y:$Y,"Qismən icra",'DP və TP'!$AD:$AD,"&lt;=2")</f>
        <v>0</v>
      </c>
      <c r="L21" s="28">
        <f>COUNTIFS('DP və TP'!$B:$B,B21,
'DP və TP'!$K:$K,"Tapşırıqların İcrasına Nəzarət platforması üzrə",
'DP və TP'!$Y:$Y,"İcra müddətinə var",'DP və TP'!$AD:$AD,"&lt;=2")</f>
        <v>0</v>
      </c>
      <c r="M21" s="28">
        <f>COUNTIFS('DP və TP'!$B:$B,B21,
'DP və TP'!$K:$K,"Tapşırıqların İcrasına Nəzarət platforması üzrə",
'DP və TP'!$Y:$Y,"Gecikmə",'DP və TP'!$AD:$AD,"&lt;=2")</f>
        <v>0</v>
      </c>
      <c r="N21" s="28">
        <f>COUNTIFS('DP və TP'!$B:$B,B21,
'DP və TP'!$K:$K,"Tapşırıqların İcrasına Nəzarət platforması üzrə",
'DP və TP'!$Y:$Y,"İcra olunmayıb",'DP və TP'!$AD:$AD,"&lt;=2")</f>
        <v>0</v>
      </c>
      <c r="O21" s="29">
        <f>COUNTIFS('DP və TP'!$B:$B,B21,
'DP və TP'!$K:$K,"Tapşırıqların İcrasına Nəzarət platforması üzrə",
'DP və TP'!$Y:$Y,"İcra olunmayıb, prioritet deyil",'DP və TP'!$AD:$AD,"&lt;=2")</f>
        <v>0</v>
      </c>
      <c r="P21" s="73">
        <f t="shared" si="0"/>
        <v>0</v>
      </c>
    </row>
    <row r="22" spans="1:16" ht="39" customHeight="1" x14ac:dyDescent="0.3">
      <c r="A22" s="22">
        <v>12</v>
      </c>
      <c r="B22" s="23" t="s">
        <v>516</v>
      </c>
      <c r="C22" s="35">
        <f>COUNTIFS('DP və TP'!$B:$B,B22,'DP və TP'!$AD:$AD,"&lt;=2")</f>
        <v>4</v>
      </c>
      <c r="D22" s="31">
        <f>COUNTIFS('DP və TP'!$B:$B,B22,'DP və TP'!$Y:$Y,"Tam icra",'DP və TP'!$AD:$AD,"&lt;=2")</f>
        <v>0</v>
      </c>
      <c r="E22" s="32">
        <f>COUNTIFS('DP və TP'!$B:$B,B22,
'DP və TP'!$Y:$Y,"Qismən icra",'DP və TP'!$AD:$AD,"&lt;=2")</f>
        <v>0</v>
      </c>
      <c r="F22" s="32">
        <f>COUNTIFS('DP və TP'!$B:$B,B22,
'DP və TP'!$Y:$Y,"İcra müddətinə var",'DP və TP'!$AD:$AD,"&lt;=2")</f>
        <v>1</v>
      </c>
      <c r="G22" s="32">
        <f>COUNTIFS('DP və TP'!$B:$B,B22,
'DP və TP'!$Y:$Y,"Gecikmə",'DP və TP'!$AD:$AD,"&lt;=2")</f>
        <v>0</v>
      </c>
      <c r="H22" s="32">
        <f>COUNTIFS('DP və TP'!$B:$B,B22,
'DP və TP'!$Y:$Y,"İcra olunmayıb",'DP və TP'!$AD:$AD,"&lt;=2")</f>
        <v>0</v>
      </c>
      <c r="I22" s="32">
        <f>COUNTIFS('DP və TP'!$B:$B,B22,
'DP və TP'!$Y:$Y,"İcra olunmayıb, prioritet deyil",'DP və TP'!$AD:$AD,"&lt;=2")</f>
        <v>3</v>
      </c>
      <c r="J22" s="28">
        <f>COUNTIFS('DP və TP'!$B:$B,B22,
'DP və TP'!$K:$K,"Tapşırıqların İcrasına Nəzarət platforması üzrə",
'DP və TP'!$Y:$Y,"Tam icra",'DP və TP'!$AD:$AD,"&lt;=2")</f>
        <v>0</v>
      </c>
      <c r="K22" s="28">
        <f>COUNTIFS('DP və TP'!$B:$B,B22,
'DP və TP'!$K:$K,"Tapşırıqların İcrasına Nəzarət platforması üzrə",
'DP və TP'!$Y:$Y,"Qismən icra",'DP və TP'!$AD:$AD,"&lt;=2")</f>
        <v>0</v>
      </c>
      <c r="L22" s="28">
        <f>COUNTIFS('DP və TP'!$B:$B,B22,
'DP və TP'!$K:$K,"Tapşırıqların İcrasına Nəzarət platforması üzrə",
'DP və TP'!$Y:$Y,"İcra müddətinə var",'DP və TP'!$AD:$AD,"&lt;=2")</f>
        <v>0</v>
      </c>
      <c r="M22" s="28">
        <f>COUNTIFS('DP və TP'!$B:$B,B22,
'DP və TP'!$K:$K,"Tapşırıqların İcrasına Nəzarət platforması üzrə",
'DP və TP'!$Y:$Y,"Gecikmə",'DP və TP'!$AD:$AD,"&lt;=2")</f>
        <v>0</v>
      </c>
      <c r="N22" s="28">
        <f>COUNTIFS('DP və TP'!$B:$B,B22,
'DP və TP'!$K:$K,"Tapşırıqların İcrasına Nəzarət platforması üzrə",
'DP və TP'!$Y:$Y,"İcra olunmayıb",'DP və TP'!$AD:$AD,"&lt;=2")</f>
        <v>0</v>
      </c>
      <c r="O22" s="29">
        <f>COUNTIFS('DP və TP'!$B:$B,B22,
'DP və TP'!$K:$K,"Tapşırıqların İcrasına Nəzarət platforması üzrə",
'DP və TP'!$Y:$Y,"İcra olunmayıb, prioritet deyil",'DP və TP'!$AD:$AD,"&lt;=2")</f>
        <v>0</v>
      </c>
      <c r="P22" s="73">
        <f t="shared" si="0"/>
        <v>0</v>
      </c>
    </row>
    <row r="23" spans="1:16" ht="22.5" customHeight="1" x14ac:dyDescent="0.3">
      <c r="A23" s="22">
        <v>13</v>
      </c>
      <c r="B23" s="23" t="s">
        <v>429</v>
      </c>
      <c r="C23" s="35">
        <f>COUNTIFS('DP və TP'!$B:$B,B23,'DP və TP'!$AD:$AD,"&lt;=2")</f>
        <v>3</v>
      </c>
      <c r="D23" s="31">
        <f>COUNTIFS('DP və TP'!$B:$B,B23,'DP və TP'!$Y:$Y,"Tam icra",'DP və TP'!$AD:$AD,"&lt;=2")</f>
        <v>0</v>
      </c>
      <c r="E23" s="32">
        <f>COUNTIFS('DP və TP'!$B:$B,B23,
'DP və TP'!$Y:$Y,"Qismən icra",'DP və TP'!$AD:$AD,"&lt;=2")</f>
        <v>1</v>
      </c>
      <c r="F23" s="32">
        <f>COUNTIFS('DP və TP'!$B:$B,B23,
'DP və TP'!$Y:$Y,"İcra müddətinə var",'DP və TP'!$AD:$AD,"&lt;=2")</f>
        <v>2</v>
      </c>
      <c r="G23" s="32">
        <f>COUNTIFS('DP və TP'!$B:$B,B23,
'DP və TP'!$Y:$Y,"Gecikmə",'DP və TP'!$AD:$AD,"&lt;=2")</f>
        <v>0</v>
      </c>
      <c r="H23" s="32">
        <f>COUNTIFS('DP və TP'!$B:$B,B23,
'DP və TP'!$Y:$Y,"İcra olunmayıb",'DP və TP'!$AD:$AD,"&lt;=2")</f>
        <v>0</v>
      </c>
      <c r="I23" s="32">
        <f>COUNTIFS('DP və TP'!$B:$B,B23,
'DP və TP'!$Y:$Y,"İcra olunmayıb, prioritet deyil",'DP və TP'!$AD:$AD,"&lt;=2")</f>
        <v>0</v>
      </c>
      <c r="J23" s="28">
        <f>COUNTIFS('DP və TP'!$B:$B,B23,
'DP və TP'!$K:$K,"Tapşırıqların İcrasına Nəzarət platforması üzrə",
'DP və TP'!$Y:$Y,"Tam icra",'DP və TP'!$AD:$AD,"&lt;=2")</f>
        <v>0</v>
      </c>
      <c r="K23" s="28">
        <f>COUNTIFS('DP və TP'!$B:$B,B23,
'DP və TP'!$K:$K,"Tapşırıqların İcrasına Nəzarət platforması üzrə",
'DP və TP'!$Y:$Y,"Qismən icra",'DP və TP'!$AD:$AD,"&lt;=2")</f>
        <v>0</v>
      </c>
      <c r="L23" s="28">
        <f>COUNTIFS('DP və TP'!$B:$B,B23,
'DP və TP'!$K:$K,"Tapşırıqların İcrasına Nəzarət platforması üzrə",
'DP və TP'!$Y:$Y,"İcra müddətinə var",'DP və TP'!$AD:$AD,"&lt;=2")</f>
        <v>0</v>
      </c>
      <c r="M23" s="28">
        <f>COUNTIFS('DP və TP'!$B:$B,B23,
'DP və TP'!$K:$K,"Tapşırıqların İcrasına Nəzarət platforması üzrə",
'DP və TP'!$Y:$Y,"Gecikmə",'DP və TP'!$AD:$AD,"&lt;=2")</f>
        <v>0</v>
      </c>
      <c r="N23" s="28">
        <f>COUNTIFS('DP və TP'!$B:$B,B23,
'DP və TP'!$K:$K,"Tapşırıqların İcrasına Nəzarət platforması üzrə",
'DP və TP'!$Y:$Y,"İcra olunmayıb",'DP və TP'!$AD:$AD,"&lt;=2")</f>
        <v>0</v>
      </c>
      <c r="O23" s="29">
        <f>COUNTIFS('DP və TP'!$B:$B,B23,
'DP və TP'!$K:$K,"Tapşırıqların İcrasına Nəzarət platforması üzrə",
'DP və TP'!$Y:$Y,"İcra olunmayıb, prioritet deyil",'DP və TP'!$AD:$AD,"&lt;=2")</f>
        <v>0</v>
      </c>
      <c r="P23" s="73">
        <f t="shared" si="0"/>
        <v>0</v>
      </c>
    </row>
    <row r="24" spans="1:16" ht="38.25" customHeight="1" x14ac:dyDescent="0.3">
      <c r="A24" s="22">
        <v>14</v>
      </c>
      <c r="B24" s="23" t="s">
        <v>161</v>
      </c>
      <c r="C24" s="35">
        <f>COUNTIFS('DP və TP'!$B:$B,B24,'DP və TP'!$AD:$AD,"&lt;=2")</f>
        <v>16</v>
      </c>
      <c r="D24" s="31">
        <f>COUNTIFS('DP və TP'!$B:$B,B24,'DP və TP'!$Y:$Y,"Tam icra",'DP və TP'!$AD:$AD,"&lt;=2")</f>
        <v>5</v>
      </c>
      <c r="E24" s="32">
        <f>COUNTIFS('DP və TP'!$B:$B,B24,
'DP və TP'!$Y:$Y,"Qismən icra",'DP və TP'!$AD:$AD,"&lt;=2")</f>
        <v>1</v>
      </c>
      <c r="F24" s="32">
        <f>COUNTIFS('DP və TP'!$B:$B,B24,
'DP və TP'!$Y:$Y,"İcra müddətinə var",'DP və TP'!$AD:$AD,"&lt;=2")</f>
        <v>8</v>
      </c>
      <c r="G24" s="32">
        <f>COUNTIFS('DP və TP'!$B:$B,B24,
'DP və TP'!$Y:$Y,"Gecikmə",'DP və TP'!$AD:$AD,"&lt;=2")</f>
        <v>1</v>
      </c>
      <c r="H24" s="32">
        <f>COUNTIFS('DP və TP'!$B:$B,B24,
'DP və TP'!$Y:$Y,"İcra olunmayıb",'DP və TP'!$AD:$AD,"&lt;=2")</f>
        <v>0</v>
      </c>
      <c r="I24" s="32">
        <f>COUNTIFS('DP və TP'!$B:$B,B24,
'DP və TP'!$Y:$Y,"İcra olunmayıb, prioritet deyil",'DP və TP'!$AD:$AD,"&lt;=2")</f>
        <v>1</v>
      </c>
      <c r="J24" s="28">
        <f>COUNTIFS('DP və TP'!$B:$B,B24,
'DP və TP'!$K:$K,"Tapşırıqların İcrasına Nəzarət platforması üzrə",
'DP və TP'!$Y:$Y,"Tam icra",'DP və TP'!$AD:$AD,"&lt;=2")</f>
        <v>3</v>
      </c>
      <c r="K24" s="28">
        <f>COUNTIFS('DP və TP'!$B:$B,B24,
'DP və TP'!$K:$K,"Tapşırıqların İcrasına Nəzarət platforması üzrə",
'DP və TP'!$Y:$Y,"Qismən icra",'DP və TP'!$AD:$AD,"&lt;=2")</f>
        <v>0</v>
      </c>
      <c r="L24" s="28">
        <f>COUNTIFS('DP və TP'!$B:$B,B24,
'DP və TP'!$K:$K,"Tapşırıqların İcrasına Nəzarət platforması üzrə",
'DP və TP'!$Y:$Y,"İcra müddətinə var",'DP və TP'!$AD:$AD,"&lt;=2")</f>
        <v>2</v>
      </c>
      <c r="M24" s="28">
        <f>COUNTIFS('DP və TP'!$B:$B,B24,
'DP və TP'!$K:$K,"Tapşırıqların İcrasına Nəzarət platforması üzrə",
'DP və TP'!$Y:$Y,"Gecikmə",'DP və TP'!$AD:$AD,"&lt;=2")</f>
        <v>1</v>
      </c>
      <c r="N24" s="28">
        <f>COUNTIFS('DP və TP'!$B:$B,B24,
'DP və TP'!$K:$K,"Tapşırıqların İcrasına Nəzarət platforması üzrə",
'DP və TP'!$Y:$Y,"İcra olunmayıb",'DP və TP'!$AD:$AD,"&lt;=2")</f>
        <v>0</v>
      </c>
      <c r="O24" s="29">
        <f>COUNTIFS('DP və TP'!$B:$B,B24,
'DP və TP'!$K:$K,"Tapşırıqların İcrasına Nəzarət platforması üzrə",
'DP və TP'!$Y:$Y,"İcra olunmayıb, prioritet deyil",'DP və TP'!$AD:$AD,"&lt;=2")</f>
        <v>1</v>
      </c>
      <c r="P24" s="73">
        <f t="shared" si="0"/>
        <v>7</v>
      </c>
    </row>
    <row r="25" spans="1:16" ht="36.75" customHeight="1" x14ac:dyDescent="0.3">
      <c r="A25" s="22">
        <v>15</v>
      </c>
      <c r="B25" s="23" t="s">
        <v>509</v>
      </c>
      <c r="C25" s="35">
        <f>COUNTIFS('DP və TP'!$B:$B,B25,'DP və TP'!$AD:$AD,"&lt;=2")</f>
        <v>2</v>
      </c>
      <c r="D25" s="31">
        <f>COUNTIFS('DP və TP'!$B:$B,B25,'DP və TP'!$Y:$Y,"Tam icra",'DP və TP'!$AD:$AD,"&lt;=2")</f>
        <v>1</v>
      </c>
      <c r="E25" s="32">
        <f>COUNTIFS('DP və TP'!$B:$B,B25,
'DP və TP'!$Y:$Y,"Qismən icra",'DP və TP'!$AD:$AD,"&lt;=2")</f>
        <v>0</v>
      </c>
      <c r="F25" s="32">
        <f>COUNTIFS('DP və TP'!$B:$B,B25,
'DP və TP'!$Y:$Y,"İcra müddətinə var",'DP və TP'!$AD:$AD,"&lt;=2")</f>
        <v>1</v>
      </c>
      <c r="G25" s="32">
        <f>COUNTIFS('DP və TP'!$B:$B,B25,
'DP və TP'!$Y:$Y,"Gecikmə",'DP və TP'!$AD:$AD,"&lt;=2")</f>
        <v>0</v>
      </c>
      <c r="H25" s="32">
        <f>COUNTIFS('DP və TP'!$B:$B,B25,
'DP və TP'!$Y:$Y,"İcra olunmayıb",'DP və TP'!$AD:$AD,"&lt;=2")</f>
        <v>0</v>
      </c>
      <c r="I25" s="32">
        <f>COUNTIFS('DP və TP'!$B:$B,B25,
'DP və TP'!$Y:$Y,"İcra olunmayıb, prioritet deyil",'DP və TP'!$AD:$AD,"&lt;=2")</f>
        <v>0</v>
      </c>
      <c r="J25" s="28">
        <f>COUNTIFS('DP və TP'!$B:$B,B25,
'DP və TP'!$K:$K,"Tapşırıqların İcrasına Nəzarət platforması üzrə",
'DP və TP'!$Y:$Y,"Tam icra",'DP və TP'!$AD:$AD,"&lt;=2")</f>
        <v>1</v>
      </c>
      <c r="K25" s="28">
        <f>COUNTIFS('DP və TP'!$B:$B,B25,
'DP və TP'!$K:$K,"Tapşırıqların İcrasına Nəzarət platforması üzrə",
'DP və TP'!$Y:$Y,"Qismən icra",'DP və TP'!$AD:$AD,"&lt;=2")</f>
        <v>0</v>
      </c>
      <c r="L25" s="28">
        <f>COUNTIFS('DP və TP'!$B:$B,B25,
'DP və TP'!$K:$K,"Tapşırıqların İcrasına Nəzarət platforması üzrə",
'DP və TP'!$Y:$Y,"İcra müddətinə var",'DP və TP'!$AD:$AD,"&lt;=2")</f>
        <v>1</v>
      </c>
      <c r="M25" s="28">
        <f>COUNTIFS('DP və TP'!$B:$B,B25,
'DP və TP'!$K:$K,"Tapşırıqların İcrasına Nəzarət platforması üzrə",
'DP və TP'!$Y:$Y,"Gecikmə",'DP və TP'!$AD:$AD,"&lt;=2")</f>
        <v>0</v>
      </c>
      <c r="N25" s="28">
        <f>COUNTIFS('DP və TP'!$B:$B,B25,
'DP və TP'!$K:$K,"Tapşırıqların İcrasına Nəzarət platforması üzrə",
'DP və TP'!$Y:$Y,"İcra olunmayıb",'DP və TP'!$AD:$AD,"&lt;=2")</f>
        <v>0</v>
      </c>
      <c r="O25" s="29">
        <f>COUNTIFS('DP və TP'!$B:$B,B25,
'DP və TP'!$K:$K,"Tapşırıqların İcrasına Nəzarət platforması üzrə",
'DP və TP'!$Y:$Y,"İcra olunmayıb, prioritet deyil",'DP və TP'!$AD:$AD,"&lt;=2")</f>
        <v>0</v>
      </c>
      <c r="P25" s="73">
        <f t="shared" si="0"/>
        <v>2</v>
      </c>
    </row>
    <row r="26" spans="1:16" ht="35.25" customHeight="1" x14ac:dyDescent="0.3">
      <c r="A26" s="22">
        <v>16</v>
      </c>
      <c r="B26" s="23" t="s">
        <v>236</v>
      </c>
      <c r="C26" s="35">
        <f>COUNTIFS('DP və TP'!$B:$B,B26,'DP və TP'!$AD:$AD,"&lt;=2")</f>
        <v>8</v>
      </c>
      <c r="D26" s="31">
        <f>COUNTIFS('DP və TP'!$B:$B,B26,'DP və TP'!$Y:$Y,"Tam icra",'DP və TP'!$AD:$AD,"&lt;=2")</f>
        <v>2</v>
      </c>
      <c r="E26" s="32">
        <f>COUNTIFS('DP və TP'!$B:$B,B26,
'DP və TP'!$Y:$Y,"Qismən icra",'DP və TP'!$AD:$AD,"&lt;=2")</f>
        <v>0</v>
      </c>
      <c r="F26" s="32">
        <f>COUNTIFS('DP və TP'!$B:$B,B26,
'DP və TP'!$Y:$Y,"İcra müddətinə var",'DP və TP'!$AD:$AD,"&lt;=2")</f>
        <v>2</v>
      </c>
      <c r="G26" s="32">
        <f>COUNTIFS('DP və TP'!$B:$B,B26,
'DP və TP'!$Y:$Y,"Gecikmə",'DP və TP'!$AD:$AD,"&lt;=2")</f>
        <v>0</v>
      </c>
      <c r="H26" s="32">
        <f>COUNTIFS('DP və TP'!$B:$B,B26,
'DP və TP'!$Y:$Y,"İcra olunmayıb",'DP və TP'!$AD:$AD,"&lt;=2")</f>
        <v>1</v>
      </c>
      <c r="I26" s="32">
        <f>COUNTIFS('DP və TP'!$B:$B,B26,
'DP və TP'!$Y:$Y,"İcra olunmayıb, prioritet deyil",'DP və TP'!$AD:$AD,"&lt;=2")</f>
        <v>3</v>
      </c>
      <c r="J26" s="28">
        <f>COUNTIFS('DP və TP'!$B:$B,B26,
'DP və TP'!$K:$K,"Tapşırıqların İcrasına Nəzarət platforması üzrə",
'DP və TP'!$Y:$Y,"Tam icra",'DP və TP'!$AD:$AD,"&lt;=2")</f>
        <v>0</v>
      </c>
      <c r="K26" s="28">
        <f>COUNTIFS('DP və TP'!$B:$B,B26,
'DP və TP'!$K:$K,"Tapşırıqların İcrasına Nəzarət platforması üzrə",
'DP və TP'!$Y:$Y,"Qismən icra",'DP və TP'!$AD:$AD,"&lt;=2")</f>
        <v>0</v>
      </c>
      <c r="L26" s="28">
        <f>COUNTIFS('DP və TP'!$B:$B,B26,
'DP və TP'!$K:$K,"Tapşırıqların İcrasına Nəzarət platforması üzrə",
'DP və TP'!$Y:$Y,"İcra müddətinə var",'DP və TP'!$AD:$AD,"&lt;=2")</f>
        <v>0</v>
      </c>
      <c r="M26" s="28">
        <f>COUNTIFS('DP və TP'!$B:$B,B26,
'DP və TP'!$K:$K,"Tapşırıqların İcrasına Nəzarət platforması üzrə",
'DP və TP'!$Y:$Y,"Gecikmə",'DP və TP'!$AD:$AD,"&lt;=2")</f>
        <v>0</v>
      </c>
      <c r="N26" s="28">
        <f>COUNTIFS('DP və TP'!$B:$B,B26,
'DP və TP'!$K:$K,"Tapşırıqların İcrasına Nəzarət platforması üzrə",
'DP və TP'!$Y:$Y,"İcra olunmayıb",'DP və TP'!$AD:$AD,"&lt;=2")</f>
        <v>0</v>
      </c>
      <c r="O26" s="29">
        <f>COUNTIFS('DP və TP'!$B:$B,B26,
'DP və TP'!$K:$K,"Tapşırıqların İcrasına Nəzarət platforması üzrə",
'DP və TP'!$Y:$Y,"İcra olunmayıb, prioritet deyil",'DP və TP'!$AD:$AD,"&lt;=2")</f>
        <v>0</v>
      </c>
      <c r="P26" s="73">
        <f t="shared" si="0"/>
        <v>0</v>
      </c>
    </row>
    <row r="27" spans="1:16" ht="35.25" customHeight="1" x14ac:dyDescent="0.3">
      <c r="A27" s="22">
        <v>17</v>
      </c>
      <c r="B27" s="23" t="s">
        <v>346</v>
      </c>
      <c r="C27" s="35">
        <f>COUNTIFS('DP və TP'!$B:$B,B27,'DP və TP'!$AD:$AD,"&lt;=2")</f>
        <v>12</v>
      </c>
      <c r="D27" s="31">
        <f>COUNTIFS('DP və TP'!$B:$B,B27,'DP və TP'!$Y:$Y,"Tam icra",'DP və TP'!$AD:$AD,"&lt;=2")</f>
        <v>5</v>
      </c>
      <c r="E27" s="32">
        <f>COUNTIFS('DP və TP'!$B:$B,B27,
'DP və TP'!$Y:$Y,"Qismən icra",'DP və TP'!$AD:$AD,"&lt;=2")</f>
        <v>3</v>
      </c>
      <c r="F27" s="32">
        <f>COUNTIFS('DP və TP'!$B:$B,B27,
'DP və TP'!$Y:$Y,"İcra müddətinə var",'DP və TP'!$AD:$AD,"&lt;=2")</f>
        <v>3</v>
      </c>
      <c r="G27" s="32">
        <f>COUNTIFS('DP və TP'!$B:$B,B27,
'DP və TP'!$Y:$Y,"Gecikmə",'DP və TP'!$AD:$AD,"&lt;=2")</f>
        <v>0</v>
      </c>
      <c r="H27" s="32">
        <f>COUNTIFS('DP və TP'!$B:$B,B27,
'DP və TP'!$Y:$Y,"İcra olunmayıb",'DP və TP'!$AD:$AD,"&lt;=2")</f>
        <v>0</v>
      </c>
      <c r="I27" s="32">
        <f>COUNTIFS('DP və TP'!$B:$B,B27,
'DP və TP'!$Y:$Y,"İcra olunmayıb, prioritet deyil",'DP və TP'!$AD:$AD,"&lt;=2")</f>
        <v>1</v>
      </c>
      <c r="J27" s="28">
        <f>COUNTIFS('DP və TP'!$B:$B,B27,
'DP və TP'!$K:$K,"Tapşırıqların İcrasına Nəzarət platforması üzrə",
'DP və TP'!$Y:$Y,"Tam icra",'DP və TP'!$AD:$AD,"&lt;=2")</f>
        <v>3</v>
      </c>
      <c r="K27" s="28">
        <f>COUNTIFS('DP və TP'!$B:$B,B27,
'DP və TP'!$K:$K,"Tapşırıqların İcrasına Nəzarət platforması üzrə",
'DP və TP'!$Y:$Y,"Qismən icra",'DP və TP'!$AD:$AD,"&lt;=2")</f>
        <v>2</v>
      </c>
      <c r="L27" s="28">
        <f>COUNTIFS('DP və TP'!$B:$B,B27,
'DP və TP'!$K:$K,"Tapşırıqların İcrasına Nəzarət platforması üzrə",
'DP və TP'!$Y:$Y,"İcra müddətinə var",'DP və TP'!$AD:$AD,"&lt;=2")</f>
        <v>2</v>
      </c>
      <c r="M27" s="28">
        <f>COUNTIFS('DP və TP'!$B:$B,B27,
'DP və TP'!$K:$K,"Tapşırıqların İcrasına Nəzarət platforması üzrə",
'DP və TP'!$Y:$Y,"Gecikmə",'DP və TP'!$AD:$AD,"&lt;=2")</f>
        <v>0</v>
      </c>
      <c r="N27" s="28">
        <f>COUNTIFS('DP və TP'!$B:$B,B27,
'DP və TP'!$K:$K,"Tapşırıqların İcrasına Nəzarət platforması üzrə",
'DP və TP'!$Y:$Y,"İcra olunmayıb",'DP və TP'!$AD:$AD,"&lt;=2")</f>
        <v>0</v>
      </c>
      <c r="O27" s="29">
        <f>COUNTIFS('DP və TP'!$B:$B,B27,
'DP və TP'!$K:$K,"Tapşırıqların İcrasına Nəzarət platforması üzrə",
'DP və TP'!$Y:$Y,"İcra olunmayıb, prioritet deyil",'DP və TP'!$AD:$AD,"&lt;=2")</f>
        <v>1</v>
      </c>
      <c r="P27" s="73">
        <f t="shared" si="0"/>
        <v>8</v>
      </c>
    </row>
    <row r="28" spans="1:16" ht="46.5" customHeight="1" x14ac:dyDescent="0.3">
      <c r="A28" s="22">
        <v>18</v>
      </c>
      <c r="B28" s="23" t="s">
        <v>30</v>
      </c>
      <c r="C28" s="35">
        <f>COUNTIFS('DP və TP'!$B:$B,B28,'DP və TP'!$AD:$AD,"&lt;=2")</f>
        <v>23</v>
      </c>
      <c r="D28" s="31">
        <f>COUNTIFS('DP və TP'!$B:$B,B28,'DP və TP'!$Y:$Y,"Tam icra",'DP və TP'!$AD:$AD,"&lt;=2")</f>
        <v>11</v>
      </c>
      <c r="E28" s="32">
        <f>COUNTIFS('DP və TP'!$B:$B,B28,
'DP və TP'!$Y:$Y,"Qismən icra",'DP və TP'!$AD:$AD,"&lt;=2")</f>
        <v>5</v>
      </c>
      <c r="F28" s="32">
        <f>COUNTIFS('DP və TP'!$B:$B,B28,
'DP və TP'!$Y:$Y,"İcra müddətinə var",'DP və TP'!$AD:$AD,"&lt;=2")</f>
        <v>4</v>
      </c>
      <c r="G28" s="32">
        <f>COUNTIFS('DP və TP'!$B:$B,B28,
'DP və TP'!$Y:$Y,"Gecikmə",'DP və TP'!$AD:$AD,"&lt;=2")</f>
        <v>0</v>
      </c>
      <c r="H28" s="32">
        <f>COUNTIFS('DP və TP'!$B:$B,B28,
'DP və TP'!$Y:$Y,"İcra olunmayıb",'DP və TP'!$AD:$AD,"&lt;=2")</f>
        <v>1</v>
      </c>
      <c r="I28" s="32">
        <f>COUNTIFS('DP və TP'!$B:$B,B28,
'DP və TP'!$Y:$Y,"İcra olunmayıb, prioritet deyil",'DP və TP'!$AD:$AD,"&lt;=2")</f>
        <v>2</v>
      </c>
      <c r="J28" s="28">
        <f>COUNTIFS('DP və TP'!$B:$B,B28,
'DP və TP'!$K:$K,"Tapşırıqların İcrasına Nəzarət platforması üzrə",
'DP və TP'!$Y:$Y,"Tam icra",'DP və TP'!$AD:$AD,"&lt;=2")</f>
        <v>2</v>
      </c>
      <c r="K28" s="28">
        <f>COUNTIFS('DP və TP'!$B:$B,B28,
'DP və TP'!$K:$K,"Tapşırıqların İcrasına Nəzarət platforması üzrə",
'DP və TP'!$Y:$Y,"Qismən icra",'DP və TP'!$AD:$AD,"&lt;=2")</f>
        <v>0</v>
      </c>
      <c r="L28" s="28">
        <f>COUNTIFS('DP və TP'!$B:$B,B28,
'DP və TP'!$K:$K,"Tapşırıqların İcrasına Nəzarət platforması üzrə",
'DP və TP'!$Y:$Y,"İcra müddətinə var",'DP və TP'!$AD:$AD,"&lt;=2")</f>
        <v>1</v>
      </c>
      <c r="M28" s="28">
        <f>COUNTIFS('DP və TP'!$B:$B,B28,
'DP və TP'!$K:$K,"Tapşırıqların İcrasına Nəzarət platforması üzrə",
'DP və TP'!$Y:$Y,"Gecikmə",'DP və TP'!$AD:$AD,"&lt;=2")</f>
        <v>0</v>
      </c>
      <c r="N28" s="28">
        <f>COUNTIFS('DP və TP'!$B:$B,B28,
'DP və TP'!$K:$K,"Tapşırıqların İcrasına Nəzarət platforması üzrə",
'DP və TP'!$Y:$Y,"İcra olunmayıb",'DP və TP'!$AD:$AD,"&lt;=2")</f>
        <v>0</v>
      </c>
      <c r="O28" s="29">
        <f>COUNTIFS('DP və TP'!$B:$B,B28,
'DP və TP'!$K:$K,"Tapşırıqların İcrasına Nəzarət platforması üzrə",
'DP və TP'!$Y:$Y,"İcra olunmayıb, prioritet deyil",'DP və TP'!$AD:$AD,"&lt;=2")</f>
        <v>0</v>
      </c>
      <c r="P28" s="73">
        <f t="shared" si="0"/>
        <v>3</v>
      </c>
    </row>
    <row r="29" spans="1:16" ht="21" customHeight="1" x14ac:dyDescent="0.3">
      <c r="A29" s="22">
        <v>19</v>
      </c>
      <c r="B29" s="74" t="s">
        <v>456</v>
      </c>
      <c r="C29" s="35">
        <f>COUNTIFS('DP və TP'!$B:$B,B29,'DP və TP'!$AD:$AD,"&lt;=2")</f>
        <v>12</v>
      </c>
      <c r="D29" s="31">
        <f>COUNTIFS('DP və TP'!$B:$B,B29,'DP və TP'!$Y:$Y,"Tam icra",'DP və TP'!$AD:$AD,"&lt;=2")</f>
        <v>0</v>
      </c>
      <c r="E29" s="32">
        <f>COUNTIFS('DP və TP'!$B:$B,B29,
'DP və TP'!$Y:$Y,"Qismən icra",'DP və TP'!$AD:$AD,"&lt;=2")</f>
        <v>1</v>
      </c>
      <c r="F29" s="32">
        <f>COUNTIFS('DP və TP'!$B:$B,B29,
'DP və TP'!$Y:$Y,"İcra müddətinə var",'DP və TP'!$AD:$AD,"&lt;=2")</f>
        <v>3</v>
      </c>
      <c r="G29" s="32">
        <f>COUNTIFS('DP və TP'!$B:$B,B29,
'DP və TP'!$Y:$Y,"Gecikmə",'DP və TP'!$AD:$AD,"&lt;=2")</f>
        <v>1</v>
      </c>
      <c r="H29" s="32">
        <f>COUNTIFS('DP və TP'!$B:$B,B29,
'DP və TP'!$Y:$Y,"İcra olunmayıb",'DP və TP'!$AD:$AD,"&lt;=2")</f>
        <v>3</v>
      </c>
      <c r="I29" s="32">
        <f>COUNTIFS('DP və TP'!$B:$B,B29,
'DP və TP'!$Y:$Y,"İcra olunmayıb, prioritet deyil",'DP və TP'!$AD:$AD,"&lt;=2")</f>
        <v>4</v>
      </c>
      <c r="J29" s="28">
        <f>COUNTIFS('DP və TP'!$B:$B,B29,
'DP və TP'!$K:$K,"Tapşırıqların İcrasına Nəzarət platforması üzrə",
'DP və TP'!$Y:$Y,"Tam icra",'DP və TP'!$AD:$AD,"&lt;=2")</f>
        <v>0</v>
      </c>
      <c r="K29" s="28">
        <f>COUNTIFS('DP və TP'!$B:$B,B29,
'DP və TP'!$K:$K,"Tapşırıqların İcrasına Nəzarət platforması üzrə",
'DP və TP'!$Y:$Y,"Qismən icra",'DP və TP'!$AD:$AD,"&lt;=2")</f>
        <v>0</v>
      </c>
      <c r="L29" s="28">
        <f>COUNTIFS('DP və TP'!$B:$B,B29,
'DP və TP'!$K:$K,"Tapşırıqların İcrasına Nəzarət platforması üzrə",
'DP və TP'!$Y:$Y,"İcra müddətinə var",'DP və TP'!$AD:$AD,"&lt;=2")</f>
        <v>0</v>
      </c>
      <c r="M29" s="28">
        <f>COUNTIFS('DP və TP'!$B:$B,B29,
'DP və TP'!$K:$K,"Tapşırıqların İcrasına Nəzarət platforması üzrə",
'DP və TP'!$Y:$Y,"Gecikmə",'DP və TP'!$AD:$AD,"&lt;=2")</f>
        <v>0</v>
      </c>
      <c r="N29" s="28">
        <f>COUNTIFS('DP və TP'!$B:$B,B29,
'DP və TP'!$K:$K,"Tapşırıqların İcrasına Nəzarət platforması üzrə",
'DP və TP'!$Y:$Y,"İcra olunmayıb",'DP və TP'!$AD:$AD,"&lt;=2")</f>
        <v>0</v>
      </c>
      <c r="O29" s="29">
        <f>COUNTIFS('DP və TP'!$B:$B,B29,
'DP və TP'!$K:$K,"Tapşırıqların İcrasına Nəzarət platforması üzrə",
'DP və TP'!$Y:$Y,"İcra olunmayıb, prioritet deyil",'DP və TP'!$AD:$AD,"&lt;=2")</f>
        <v>0</v>
      </c>
      <c r="P29" s="73">
        <f t="shared" si="0"/>
        <v>0</v>
      </c>
    </row>
    <row r="30" spans="1:16" ht="27" customHeight="1" x14ac:dyDescent="0.3">
      <c r="A30" s="22">
        <v>20</v>
      </c>
      <c r="B30" s="23" t="s">
        <v>139</v>
      </c>
      <c r="C30" s="35">
        <f>COUNTIFS('DP və TP'!$B:$B,B30,'DP və TP'!$AD:$AD,"&lt;=2")</f>
        <v>2</v>
      </c>
      <c r="D30" s="31">
        <f>COUNTIFS('DP və TP'!$B:$B,B30,'DP və TP'!$Y:$Y,"Tam icra",'DP və TP'!$AD:$AD,"&lt;=2")</f>
        <v>1</v>
      </c>
      <c r="E30" s="32">
        <f>COUNTIFS('DP və TP'!$B:$B,B30,
'DP və TP'!$Y:$Y,"Qismən icra",'DP və TP'!$AD:$AD,"&lt;=2")</f>
        <v>0</v>
      </c>
      <c r="F30" s="32">
        <f>COUNTIFS('DP və TP'!$B:$B,B30,
'DP və TP'!$Y:$Y,"İcra müddətinə var",'DP və TP'!$AD:$AD,"&lt;=2")</f>
        <v>0</v>
      </c>
      <c r="G30" s="32">
        <f>COUNTIFS('DP və TP'!$B:$B,B30,
'DP və TP'!$Y:$Y,"Gecikmə",'DP və TP'!$AD:$AD,"&lt;=2")</f>
        <v>0</v>
      </c>
      <c r="H30" s="32">
        <f>COUNTIFS('DP və TP'!$B:$B,B30,
'DP və TP'!$Y:$Y,"İcra olunmayıb",'DP və TP'!$AD:$AD,"&lt;=2")</f>
        <v>1</v>
      </c>
      <c r="I30" s="32">
        <f>COUNTIFS('DP və TP'!$B:$B,B30,
'DP və TP'!$Y:$Y,"İcra olunmayıb, prioritet deyil",'DP və TP'!$AD:$AD,"&lt;=2")</f>
        <v>0</v>
      </c>
      <c r="J30" s="28">
        <f>COUNTIFS('DP və TP'!$B:$B,B30,
'DP və TP'!$K:$K,"Tapşırıqların İcrasına Nəzarət platforması üzrə",
'DP və TP'!$Y:$Y,"Tam icra",'DP və TP'!$AD:$AD,"&lt;=2")</f>
        <v>0</v>
      </c>
      <c r="K30" s="28">
        <f>COUNTIFS('DP və TP'!$B:$B,B30,
'DP və TP'!$K:$K,"Tapşırıqların İcrasına Nəzarət platforması üzrə",
'DP və TP'!$Y:$Y,"Qismən icra",'DP və TP'!$AD:$AD,"&lt;=2")</f>
        <v>0</v>
      </c>
      <c r="L30" s="28">
        <f>COUNTIFS('DP və TP'!$B:$B,B30,
'DP və TP'!$K:$K,"Tapşırıqların İcrasına Nəzarət platforması üzrə",
'DP və TP'!$Y:$Y,"İcra müddətinə var",'DP və TP'!$AD:$AD,"&lt;=2")</f>
        <v>0</v>
      </c>
      <c r="M30" s="28">
        <f>COUNTIFS('DP və TP'!$B:$B,B30,
'DP və TP'!$K:$K,"Tapşırıqların İcrasına Nəzarət platforması üzrə",
'DP və TP'!$Y:$Y,"Gecikmə",'DP və TP'!$AD:$AD,"&lt;=2")</f>
        <v>0</v>
      </c>
      <c r="N30" s="28">
        <f>COUNTIFS('DP və TP'!$B:$B,B30,
'DP və TP'!$K:$K,"Tapşırıqların İcrasına Nəzarət platforması üzrə",
'DP və TP'!$Y:$Y,"İcra olunmayıb",'DP və TP'!$AD:$AD,"&lt;=2")</f>
        <v>1</v>
      </c>
      <c r="O30" s="29">
        <f>COUNTIFS('DP və TP'!$B:$B,B30,
'DP və TP'!$K:$K,"Tapşırıqların İcrasına Nəzarət platforması üzrə",
'DP və TP'!$Y:$Y,"İcra olunmayıb, prioritet deyil",'DP və TP'!$AD:$AD,"&lt;=2")</f>
        <v>0</v>
      </c>
      <c r="P30" s="73">
        <f t="shared" si="0"/>
        <v>1</v>
      </c>
    </row>
    <row r="31" spans="1:16" ht="31.5" customHeight="1" x14ac:dyDescent="0.3">
      <c r="A31" s="22">
        <v>21</v>
      </c>
      <c r="B31" s="23" t="s">
        <v>421</v>
      </c>
      <c r="C31" s="35">
        <f>COUNTIFS('DP və TP'!$B:$B,B31,'DP və TP'!$AD:$AD,"&lt;=2")</f>
        <v>1</v>
      </c>
      <c r="D31" s="31">
        <f>COUNTIFS('DP və TP'!$B:$B,B31,'DP və TP'!$Y:$Y,"Tam icra",'DP və TP'!$AD:$AD,"&lt;=2")</f>
        <v>0</v>
      </c>
      <c r="E31" s="32">
        <f>COUNTIFS('DP və TP'!$B:$B,B31,
'DP və TP'!$Y:$Y,"Qismən icra",'DP və TP'!$AD:$AD,"&lt;=2")</f>
        <v>0</v>
      </c>
      <c r="F31" s="32">
        <f>COUNTIFS('DP və TP'!$B:$B,B31,
'DP və TP'!$Y:$Y,"İcra müddətinə var",'DP və TP'!$AD:$AD,"&lt;=2")</f>
        <v>0</v>
      </c>
      <c r="G31" s="32">
        <f>COUNTIFS('DP və TP'!$B:$B,B31,
'DP və TP'!$Y:$Y,"Gecikmə",'DP və TP'!$AD:$AD,"&lt;=2")</f>
        <v>0</v>
      </c>
      <c r="H31" s="32">
        <f>COUNTIFS('DP və TP'!$B:$B,B31,
'DP və TP'!$Y:$Y,"İcra olunmayıb",'DP və TP'!$AD:$AD,"&lt;=2")</f>
        <v>0</v>
      </c>
      <c r="I31" s="32">
        <f>COUNTIFS('DP və TP'!$B:$B,B31,
'DP və TP'!$Y:$Y,"İcra olunmayıb, prioritet deyil",'DP və TP'!$AD:$AD,"&lt;=2")</f>
        <v>1</v>
      </c>
      <c r="J31" s="28">
        <f>COUNTIFS('DP və TP'!$B:$B,B31,
'DP və TP'!$K:$K,"Tapşırıqların İcrasına Nəzarət platforması üzrə",
'DP və TP'!$Y:$Y,"Tam icra",'DP və TP'!$AD:$AD,"&lt;=2")</f>
        <v>0</v>
      </c>
      <c r="K31" s="28">
        <f>COUNTIFS('DP və TP'!$B:$B,B31,
'DP və TP'!$K:$K,"Tapşırıqların İcrasına Nəzarət platforması üzrə",
'DP və TP'!$Y:$Y,"Qismən icra",'DP və TP'!$AD:$AD,"&lt;=2")</f>
        <v>0</v>
      </c>
      <c r="L31" s="28">
        <f>COUNTIFS('DP və TP'!$B:$B,B31,
'DP və TP'!$K:$K,"Tapşırıqların İcrasına Nəzarət platforması üzrə",
'DP və TP'!$Y:$Y,"İcra müddətinə var",'DP və TP'!$AD:$AD,"&lt;=2")</f>
        <v>0</v>
      </c>
      <c r="M31" s="28">
        <f>COUNTIFS('DP və TP'!$B:$B,B31,
'DP və TP'!$K:$K,"Tapşırıqların İcrasına Nəzarət platforması üzrə",
'DP və TP'!$Y:$Y,"Gecikmə",'DP və TP'!$AD:$AD,"&lt;=2")</f>
        <v>0</v>
      </c>
      <c r="N31" s="28">
        <f>COUNTIFS('DP və TP'!$B:$B,B31,
'DP və TP'!$K:$K,"Tapşırıqların İcrasına Nəzarət platforması üzrə",
'DP və TP'!$Y:$Y,"İcra olunmayıb",'DP və TP'!$AD:$AD,"&lt;=2")</f>
        <v>0</v>
      </c>
      <c r="O31" s="29">
        <f>COUNTIFS('DP və TP'!$B:$B,B31,
'DP və TP'!$K:$K,"Tapşırıqların İcrasına Nəzarət platforması üzrə",
'DP və TP'!$Y:$Y,"İcra olunmayıb, prioritet deyil",'DP və TP'!$AD:$AD,"&lt;=2")</f>
        <v>1</v>
      </c>
      <c r="P31" s="73">
        <f t="shared" si="0"/>
        <v>1</v>
      </c>
    </row>
    <row r="32" spans="1:16" ht="29.25" customHeight="1" x14ac:dyDescent="0.3">
      <c r="A32" s="22">
        <v>22</v>
      </c>
      <c r="B32" s="23" t="s">
        <v>129</v>
      </c>
      <c r="C32" s="35">
        <f>COUNTIFS('DP və TP'!$B:$B,B32,'DP və TP'!$AD:$AD,"&lt;=2")</f>
        <v>4</v>
      </c>
      <c r="D32" s="31">
        <f>COUNTIFS('DP və TP'!$B:$B,B32,'DP və TP'!$Y:$Y,"Tam icra",'DP və TP'!$AD:$AD,"&lt;=2")</f>
        <v>1</v>
      </c>
      <c r="E32" s="32">
        <f>COUNTIFS('DP və TP'!$B:$B,B32,
'DP və TP'!$Y:$Y,"Qismən icra",'DP və TP'!$AD:$AD,"&lt;=2")</f>
        <v>0</v>
      </c>
      <c r="F32" s="32">
        <f>COUNTIFS('DP və TP'!$B:$B,B32,
'DP və TP'!$Y:$Y,"İcra müddətinə var",'DP və TP'!$AD:$AD,"&lt;=2")</f>
        <v>2</v>
      </c>
      <c r="G32" s="32">
        <f>COUNTIFS('DP və TP'!$B:$B,B32,
'DP və TP'!$Y:$Y,"Gecikmə",'DP və TP'!$AD:$AD,"&lt;=2")</f>
        <v>0</v>
      </c>
      <c r="H32" s="32">
        <f>COUNTIFS('DP və TP'!$B:$B,B32,
'DP və TP'!$Y:$Y,"İcra olunmayıb",'DP və TP'!$AD:$AD,"&lt;=2")</f>
        <v>0</v>
      </c>
      <c r="I32" s="32">
        <f>COUNTIFS('DP və TP'!$B:$B,B32,
'DP və TP'!$Y:$Y,"İcra olunmayıb, prioritet deyil",'DP və TP'!$AD:$AD,"&lt;=2")</f>
        <v>1</v>
      </c>
      <c r="J32" s="28">
        <f>COUNTIFS('DP və TP'!$B:$B,B32,
'DP və TP'!$K:$K,"Tapşırıqların İcrasına Nəzarət platforması üzrə",
'DP və TP'!$Y:$Y,"Tam icra",'DP və TP'!$AD:$AD,"&lt;=2")</f>
        <v>0</v>
      </c>
      <c r="K32" s="28">
        <f>COUNTIFS('DP və TP'!$B:$B,B32,
'DP və TP'!$K:$K,"Tapşırıqların İcrasına Nəzarət platforması üzrə",
'DP və TP'!$Y:$Y,"Qismən icra",'DP və TP'!$AD:$AD,"&lt;=2")</f>
        <v>0</v>
      </c>
      <c r="L32" s="28">
        <f>COUNTIFS('DP və TP'!$B:$B,B32,
'DP və TP'!$K:$K,"Tapşırıqların İcrasına Nəzarət platforması üzrə",
'DP və TP'!$Y:$Y,"İcra müddətinə var",'DP və TP'!$AD:$AD,"&lt;=2")</f>
        <v>0</v>
      </c>
      <c r="M32" s="28">
        <f>COUNTIFS('DP və TP'!$B:$B,B32,
'DP və TP'!$K:$K,"Tapşırıqların İcrasına Nəzarət platforması üzrə",
'DP və TP'!$Y:$Y,"Gecikmə",'DP və TP'!$AD:$AD,"&lt;=2")</f>
        <v>0</v>
      </c>
      <c r="N32" s="28">
        <f>COUNTIFS('DP və TP'!$B:$B,B32,
'DP və TP'!$K:$K,"Tapşırıqların İcrasına Nəzarət platforması üzrə",
'DP və TP'!$Y:$Y,"İcra olunmayıb",'DP və TP'!$AD:$AD,"&lt;=2")</f>
        <v>0</v>
      </c>
      <c r="O32" s="29">
        <f>COUNTIFS('DP və TP'!$B:$B,B32,
'DP və TP'!$K:$K,"Tapşırıqların İcrasına Nəzarət platforması üzrə",
'DP və TP'!$Y:$Y,"İcra olunmayıb, prioritet deyil",'DP və TP'!$AD:$AD,"&lt;=2")</f>
        <v>0</v>
      </c>
      <c r="P32" s="73">
        <f t="shared" si="0"/>
        <v>0</v>
      </c>
    </row>
    <row r="33" spans="1:16" ht="21.75" customHeight="1" x14ac:dyDescent="0.3">
      <c r="A33" s="22">
        <v>23</v>
      </c>
      <c r="B33" s="23" t="s">
        <v>544</v>
      </c>
      <c r="C33" s="35">
        <f>COUNTIFS('DP və TP'!$B:$B,B33,'DP və TP'!$AD:$AD,"&lt;=2")</f>
        <v>4</v>
      </c>
      <c r="D33" s="31">
        <f>COUNTIFS('DP və TP'!$B:$B,B33,'DP və TP'!$Y:$Y,"Tam icra",'DP və TP'!$AD:$AD,"&lt;=2")</f>
        <v>4</v>
      </c>
      <c r="E33" s="32">
        <f>COUNTIFS('DP və TP'!$B:$B,B33,
'DP və TP'!$Y:$Y,"Qismən icra",'DP və TP'!$AD:$AD,"&lt;=2")</f>
        <v>0</v>
      </c>
      <c r="F33" s="32">
        <f>COUNTIFS('DP və TP'!$B:$B,B33,
'DP və TP'!$Y:$Y,"İcra müddətinə var",'DP və TP'!$AD:$AD,"&lt;=2")</f>
        <v>0</v>
      </c>
      <c r="G33" s="32">
        <f>COUNTIFS('DP və TP'!$B:$B,B33,
'DP və TP'!$Y:$Y,"Gecikmə",'DP və TP'!$AD:$AD,"&lt;=2")</f>
        <v>0</v>
      </c>
      <c r="H33" s="32">
        <f>COUNTIFS('DP və TP'!$B:$B,B33,
'DP və TP'!$Y:$Y,"İcra olunmayıb",'DP və TP'!$AD:$AD,"&lt;=2")</f>
        <v>0</v>
      </c>
      <c r="I33" s="32">
        <f>COUNTIFS('DP və TP'!$B:$B,B33,
'DP və TP'!$Y:$Y,"İcra olunmayıb, prioritet deyil",'DP və TP'!$AD:$AD,"&lt;=2")</f>
        <v>0</v>
      </c>
      <c r="J33" s="28">
        <f>COUNTIFS('DP və TP'!$B:$B,B33,
'DP və TP'!$K:$K,"Tapşırıqların İcrasına Nəzarət platforması üzrə",
'DP və TP'!$Y:$Y,"Tam icra",'DP və TP'!$AD:$AD,"&lt;=2")</f>
        <v>2</v>
      </c>
      <c r="K33" s="28">
        <f>COUNTIFS('DP və TP'!$B:$B,B33,
'DP və TP'!$K:$K,"Tapşırıqların İcrasına Nəzarət platforması üzrə",
'DP və TP'!$Y:$Y,"Qismən icra",'DP və TP'!$AD:$AD,"&lt;=2")</f>
        <v>0</v>
      </c>
      <c r="L33" s="28">
        <f>COUNTIFS('DP və TP'!$B:$B,B33,
'DP və TP'!$K:$K,"Tapşırıqların İcrasına Nəzarət platforması üzrə",
'DP və TP'!$Y:$Y,"İcra müddətinə var",'DP və TP'!$AD:$AD,"&lt;=2")</f>
        <v>0</v>
      </c>
      <c r="M33" s="28">
        <f>COUNTIFS('DP və TP'!$B:$B,B33,
'DP və TP'!$K:$K,"Tapşırıqların İcrasına Nəzarət platforması üzrə",
'DP və TP'!$Y:$Y,"Gecikmə",'DP və TP'!$AD:$AD,"&lt;=2")</f>
        <v>0</v>
      </c>
      <c r="N33" s="28">
        <f>COUNTIFS('DP və TP'!$B:$B,B33,
'DP və TP'!$K:$K,"Tapşırıqların İcrasına Nəzarət platforması üzrə",
'DP və TP'!$Y:$Y,"İcra olunmayıb",'DP və TP'!$AD:$AD,"&lt;=2")</f>
        <v>0</v>
      </c>
      <c r="O33" s="29">
        <f>COUNTIFS('DP və TP'!$B:$B,B33,
'DP və TP'!$K:$K,"Tapşırıqların İcrasına Nəzarət platforması üzrə",
'DP və TP'!$Y:$Y,"İcra olunmayıb, prioritet deyil",'DP və TP'!$AD:$AD,"&lt;=2")</f>
        <v>0</v>
      </c>
      <c r="P33" s="73">
        <f t="shared" si="0"/>
        <v>2</v>
      </c>
    </row>
    <row r="34" spans="1:16" ht="46.5" customHeight="1" x14ac:dyDescent="0.3">
      <c r="A34" s="22">
        <v>24</v>
      </c>
      <c r="B34" s="52" t="s">
        <v>641</v>
      </c>
      <c r="C34" s="35">
        <f>COUNTIFS('DP və TP'!$B:$B,B34,'DP və TP'!$AD:$AD,"&lt;=2")</f>
        <v>18</v>
      </c>
      <c r="D34" s="31">
        <f>COUNTIFS('DP və TP'!$B:$B,B34,'DP və TP'!$Y:$Y,"Tam icra",'DP və TP'!$AD:$AD,"&lt;=2")</f>
        <v>4</v>
      </c>
      <c r="E34" s="32">
        <f>COUNTIFS('DP və TP'!$B:$B,B34,
'DP və TP'!$Y:$Y,"Qismən icra",'DP və TP'!$AD:$AD,"&lt;=2")</f>
        <v>0</v>
      </c>
      <c r="F34" s="32">
        <f>COUNTIFS('DP və TP'!$B:$B,B34,
'DP və TP'!$Y:$Y,"İcra müddətinə var",'DP və TP'!$AD:$AD,"&lt;=2")</f>
        <v>9</v>
      </c>
      <c r="G34" s="32">
        <f>COUNTIFS('DP və TP'!$B:$B,B34,
'DP və TP'!$Y:$Y,"Gecikmə",'DP və TP'!$AD:$AD,"&lt;=2")</f>
        <v>1</v>
      </c>
      <c r="H34" s="32">
        <f>COUNTIFS('DP və TP'!$B:$B,B34,
'DP və TP'!$Y:$Y,"İcra olunmayıb",'DP və TP'!$AD:$AD,"&lt;=2")</f>
        <v>1</v>
      </c>
      <c r="I34" s="32">
        <f>COUNTIFS('DP və TP'!$B:$B,B34,
'DP və TP'!$Y:$Y,"İcra olunmayıb, prioritet deyil",'DP və TP'!$AD:$AD,"&lt;=2")</f>
        <v>3</v>
      </c>
      <c r="J34" s="28">
        <f>COUNTIFS('DP və TP'!$B:$B,B34,
'DP və TP'!$K:$K,"Tapşırıqların İcrasına Nəzarət platforması üzrə",
'DP və TP'!$Y:$Y,"Tam icra",'DP və TP'!$AD:$AD,"&lt;=2")</f>
        <v>0</v>
      </c>
      <c r="K34" s="28">
        <f>COUNTIFS('DP və TP'!$B:$B,B34,
'DP və TP'!$K:$K,"Tapşırıqların İcrasına Nəzarət platforması üzrə",
'DP və TP'!$Y:$Y,"Qismən icra",'DP və TP'!$AD:$AD,"&lt;=2")</f>
        <v>0</v>
      </c>
      <c r="L34" s="28">
        <f>COUNTIFS('DP və TP'!$B:$B,B34,
'DP və TP'!$K:$K,"Tapşırıqların İcrasına Nəzarət platforması üzrə",
'DP və TP'!$Y:$Y,"İcra müddətinə var",'DP və TP'!$AD:$AD,"&lt;=2")</f>
        <v>3</v>
      </c>
      <c r="M34" s="28">
        <f>COUNTIFS('DP və TP'!$B:$B,B34,
'DP və TP'!$K:$K,"Tapşırıqların İcrasına Nəzarət platforması üzrə",
'DP və TP'!$Y:$Y,"Gecikmə",'DP və TP'!$AD:$AD,"&lt;=2")</f>
        <v>0</v>
      </c>
      <c r="N34" s="28">
        <f>COUNTIFS('DP və TP'!$B:$B,B34,
'DP və TP'!$K:$K,"Tapşırıqların İcrasına Nəzarət platforması üzrə",
'DP və TP'!$Y:$Y,"İcra olunmayıb",'DP və TP'!$AD:$AD,"&lt;=2")</f>
        <v>0</v>
      </c>
      <c r="O34" s="29">
        <f>COUNTIFS('DP və TP'!$B:$B,B34,
'DP və TP'!$K:$K,"Tapşırıqların İcrasına Nəzarət platforması üzrə",
'DP və TP'!$Y:$Y,"İcra olunmayıb, prioritet deyil",'DP və TP'!$AD:$AD,"&lt;=2")</f>
        <v>0</v>
      </c>
      <c r="P34" s="73">
        <f t="shared" si="0"/>
        <v>3</v>
      </c>
    </row>
    <row r="35" spans="1:16" ht="36" customHeight="1" x14ac:dyDescent="0.3">
      <c r="A35" s="22">
        <v>25</v>
      </c>
      <c r="B35" s="52" t="s">
        <v>561</v>
      </c>
      <c r="C35" s="35">
        <f>COUNTIFS('DP və TP'!$B:$B,B35,'DP və TP'!$AD:$AD,"&lt;=2")</f>
        <v>28</v>
      </c>
      <c r="D35" s="31">
        <f>COUNTIFS('DP və TP'!$B:$B,B35,'DP və TP'!$Y:$Y,"Tam icra",'DP və TP'!$AD:$AD,"&lt;=2")</f>
        <v>15</v>
      </c>
      <c r="E35" s="32">
        <f>COUNTIFS('DP və TP'!$B:$B,B35,
'DP və TP'!$Y:$Y,"Qismən icra",'DP və TP'!$AD:$AD,"&lt;=2")</f>
        <v>2</v>
      </c>
      <c r="F35" s="32">
        <f>COUNTIFS('DP və TP'!$B:$B,B35,
'DP və TP'!$Y:$Y,"İcra müddətinə var",'DP və TP'!$AD:$AD,"&lt;=2")</f>
        <v>6</v>
      </c>
      <c r="G35" s="32">
        <f>COUNTIFS('DP və TP'!$B:$B,B35,
'DP və TP'!$Y:$Y,"Gecikmə",'DP və TP'!$AD:$AD,"&lt;=2")</f>
        <v>1</v>
      </c>
      <c r="H35" s="32">
        <f>COUNTIFS('DP və TP'!$B:$B,B35,
'DP və TP'!$Y:$Y,"İcra olunmayıb",'DP və TP'!$AD:$AD,"&lt;=2")</f>
        <v>0</v>
      </c>
      <c r="I35" s="32">
        <f>COUNTIFS('DP və TP'!$B:$B,B35,
'DP və TP'!$Y:$Y,"İcra olunmayıb, prioritet deyil",'DP və TP'!$AD:$AD,"&lt;=2")</f>
        <v>4</v>
      </c>
      <c r="J35" s="28">
        <f>COUNTIFS('DP və TP'!$B:$B,B35,
'DP və TP'!$K:$K,"Tapşırıqların İcrasına Nəzarət platforması üzrə",
'DP və TP'!$Y:$Y,"Tam icra",'DP və TP'!$AD:$AD,"&lt;=2")</f>
        <v>4</v>
      </c>
      <c r="K35" s="28">
        <f>COUNTIFS('DP və TP'!$B:$B,B35,
'DP və TP'!$K:$K,"Tapşırıqların İcrasına Nəzarət platforması üzrə",
'DP və TP'!$Y:$Y,"Qismən icra",'DP və TP'!$AD:$AD,"&lt;=2")</f>
        <v>0</v>
      </c>
      <c r="L35" s="28">
        <f>COUNTIFS('DP və TP'!$B:$B,B35,
'DP və TP'!$K:$K,"Tapşırıqların İcrasına Nəzarət platforması üzrə",
'DP və TP'!$Y:$Y,"İcra müddətinə var",'DP və TP'!$AD:$AD,"&lt;=2")</f>
        <v>1</v>
      </c>
      <c r="M35" s="28">
        <f>COUNTIFS('DP və TP'!$B:$B,B35,
'DP və TP'!$K:$K,"Tapşırıqların İcrasına Nəzarət platforması üzrə",
'DP və TP'!$Y:$Y,"Gecikmə",'DP və TP'!$AD:$AD,"&lt;=2")</f>
        <v>0</v>
      </c>
      <c r="N35" s="28">
        <f>COUNTIFS('DP və TP'!$B:$B,B35,
'DP və TP'!$K:$K,"Tapşırıqların İcrasına Nəzarət platforması üzrə",
'DP və TP'!$Y:$Y,"İcra olunmayıb",'DP və TP'!$AD:$AD,"&lt;=2")</f>
        <v>0</v>
      </c>
      <c r="O35" s="29">
        <f>COUNTIFS('DP və TP'!$B:$B,B35,
'DP və TP'!$K:$K,"Tapşırıqların İcrasına Nəzarət platforması üzrə",
'DP və TP'!$Y:$Y,"İcra olunmayıb, prioritet deyil",'DP və TP'!$AD:$AD,"&lt;=2")</f>
        <v>0</v>
      </c>
      <c r="P35" s="73">
        <f t="shared" si="0"/>
        <v>5</v>
      </c>
    </row>
    <row r="36" spans="1:16" ht="36" customHeight="1" x14ac:dyDescent="0.3">
      <c r="A36" s="22">
        <v>26</v>
      </c>
      <c r="B36" s="52" t="s">
        <v>685</v>
      </c>
      <c r="C36" s="35">
        <f>COUNTIFS('DP və TP'!$B:$B,B36,'DP və TP'!$AD:$AD,"&lt;=2")</f>
        <v>124</v>
      </c>
      <c r="D36" s="31">
        <f>COUNTIFS('DP və TP'!$B:$B,B36,'DP və TP'!$Y:$Y,"Tam icra",'DP və TP'!$AD:$AD,"&lt;=2")</f>
        <v>43</v>
      </c>
      <c r="E36" s="32">
        <f>COUNTIFS('DP və TP'!$B:$B,B36,
'DP və TP'!$Y:$Y,"Qismən icra",'DP və TP'!$AD:$AD,"&lt;=2")</f>
        <v>13</v>
      </c>
      <c r="F36" s="32">
        <f>COUNTIFS('DP və TP'!$B:$B,B36,
'DP və TP'!$Y:$Y,"İcra müddətinə var",'DP və TP'!$AD:$AD,"&lt;=2")</f>
        <v>36</v>
      </c>
      <c r="G36" s="32">
        <f>COUNTIFS('DP və TP'!$B:$B,B36,
'DP və TP'!$Y:$Y,"Gecikmə",'DP və TP'!$AD:$AD,"&lt;=2")</f>
        <v>7</v>
      </c>
      <c r="H36" s="32">
        <f>COUNTIFS('DP və TP'!$B:$B,B36,
'DP və TP'!$Y:$Y,"İcra olunmayıb",'DP və TP'!$AD:$AD,"&lt;=2")</f>
        <v>6</v>
      </c>
      <c r="I36" s="32">
        <f>COUNTIFS('DP və TP'!$B:$B,B36,
'DP və TP'!$Y:$Y,"İcra olunmayıb, prioritet deyil",'DP və TP'!$AD:$AD,"&lt;=2")</f>
        <v>19</v>
      </c>
      <c r="J36" s="28">
        <f>COUNTIFS('DP və TP'!$B:$B,B36,
'DP və TP'!$K:$K,"Tapşırıqların İcrasına Nəzarət platforması üzrə",
'DP və TP'!$Y:$Y,"Tam icra",'DP və TP'!$AD:$AD,"&lt;=2")</f>
        <v>3</v>
      </c>
      <c r="K36" s="28">
        <f>COUNTIFS('DP və TP'!$B:$B,B36,
'DP və TP'!$K:$K,"Tapşırıqların İcrasına Nəzarət platforması üzrə",
'DP və TP'!$Y:$Y,"Qismən icra",'DP və TP'!$AD:$AD,"&lt;=2")</f>
        <v>0</v>
      </c>
      <c r="L36" s="28">
        <f>COUNTIFS('DP və TP'!$B:$B,B36,
'DP və TP'!$K:$K,"Tapşırıqların İcrasına Nəzarət platforması üzrə",
'DP və TP'!$Y:$Y,"İcra müddətinə var",'DP və TP'!$AD:$AD,"&lt;=2")</f>
        <v>2</v>
      </c>
      <c r="M36" s="28">
        <f>COUNTIFS('DP və TP'!$B:$B,B36,
'DP və TP'!$K:$K,"Tapşırıqların İcrasına Nəzarət platforması üzrə",
'DP və TP'!$Y:$Y,"Gecikmə",'DP və TP'!$AD:$AD,"&lt;=2")</f>
        <v>0</v>
      </c>
      <c r="N36" s="28">
        <f>COUNTIFS('DP və TP'!$B:$B,B36,
'DP və TP'!$K:$K,"Tapşırıqların İcrasına Nəzarət platforması üzrə",
'DP və TP'!$Y:$Y,"İcra olunmayıb",'DP və TP'!$AD:$AD,"&lt;=2")</f>
        <v>0</v>
      </c>
      <c r="O36" s="29">
        <f>COUNTIFS('DP və TP'!$B:$B,B36,
'DP və TP'!$K:$K,"Tapşırıqların İcrasına Nəzarət platforması üzrə",
'DP və TP'!$Y:$Y,"İcra olunmayıb, prioritet deyil",'DP və TP'!$AD:$AD,"&lt;=2")</f>
        <v>2</v>
      </c>
      <c r="P36" s="73">
        <f t="shared" si="0"/>
        <v>7</v>
      </c>
    </row>
    <row r="37" spans="1:16" ht="46.5" customHeight="1" x14ac:dyDescent="0.3">
      <c r="A37" s="22">
        <v>27</v>
      </c>
      <c r="B37" s="52" t="s">
        <v>681</v>
      </c>
      <c r="C37" s="35">
        <f>COUNTIFS('DP və TP'!$B:$B,B37,'DP və TP'!$AD:$AD,"&lt;=2")</f>
        <v>3</v>
      </c>
      <c r="D37" s="31">
        <f>COUNTIFS('DP və TP'!$B:$B,B37,'DP və TP'!$Y:$Y,"Tam icra",'DP və TP'!$AD:$AD,"&lt;=2")</f>
        <v>0</v>
      </c>
      <c r="E37" s="32">
        <f>COUNTIFS('DP və TP'!$B:$B,B37,
'DP və TP'!$Y:$Y,"Qismən icra",'DP və TP'!$AD:$AD,"&lt;=2")</f>
        <v>1</v>
      </c>
      <c r="F37" s="32">
        <f>COUNTIFS('DP və TP'!$B:$B,B37,
'DP və TP'!$Y:$Y,"İcra müddətinə var",'DP və TP'!$AD:$AD,"&lt;=2")</f>
        <v>1</v>
      </c>
      <c r="G37" s="32">
        <f>COUNTIFS('DP və TP'!$B:$B,B37,
'DP və TP'!$Y:$Y,"Gecikmə",'DP və TP'!$AD:$AD,"&lt;=2")</f>
        <v>0</v>
      </c>
      <c r="H37" s="32">
        <f>COUNTIFS('DP və TP'!$B:$B,B37,
'DP və TP'!$Y:$Y,"İcra olunmayıb",'DP və TP'!$AD:$AD,"&lt;=2")</f>
        <v>0</v>
      </c>
      <c r="I37" s="32">
        <f>COUNTIFS('DP və TP'!$B:$B,B37,
'DP və TP'!$Y:$Y,"İcra olunmayıb, prioritet deyil",'DP və TP'!$AD:$AD,"&lt;=2")</f>
        <v>1</v>
      </c>
      <c r="J37" s="28">
        <f>COUNTIFS('DP və TP'!$B:$B,B37,
'DP və TP'!$K:$K,"Tapşırıqların İcrasına Nəzarət platforması üzrə",
'DP və TP'!$Y:$Y,"Tam icra",'DP və TP'!$AD:$AD,"&lt;=2")</f>
        <v>0</v>
      </c>
      <c r="K37" s="28">
        <f>COUNTIFS('DP və TP'!$B:$B,B37,
'DP və TP'!$K:$K,"Tapşırıqların İcrasına Nəzarət platforması üzrə",
'DP və TP'!$Y:$Y,"Qismən icra",'DP və TP'!$AD:$AD,"&lt;=2")</f>
        <v>0</v>
      </c>
      <c r="L37" s="28">
        <f>COUNTIFS('DP və TP'!$B:$B,B37,
'DP və TP'!$K:$K,"Tapşırıqların İcrasına Nəzarət platforması üzrə",
'DP və TP'!$Y:$Y,"İcra müddətinə var",'DP və TP'!$AD:$AD,"&lt;=2")</f>
        <v>0</v>
      </c>
      <c r="M37" s="28">
        <f>COUNTIFS('DP və TP'!$B:$B,B37,
'DP və TP'!$K:$K,"Tapşırıqların İcrasına Nəzarət platforması üzrə",
'DP və TP'!$Y:$Y,"Gecikmə",'DP və TP'!$AD:$AD,"&lt;=2")</f>
        <v>0</v>
      </c>
      <c r="N37" s="28">
        <f>COUNTIFS('DP və TP'!$B:$B,B37,
'DP və TP'!$K:$K,"Tapşırıqların İcrasına Nəzarət platforması üzrə",
'DP və TP'!$Y:$Y,"İcra olunmayıb",'DP və TP'!$AD:$AD,"&lt;=2")</f>
        <v>0</v>
      </c>
      <c r="O37" s="29">
        <f>COUNTIFS('DP və TP'!$B:$B,B37,
'DP və TP'!$K:$K,"Tapşırıqların İcrasına Nəzarət platforması üzrə",
'DP və TP'!$Y:$Y,"İcra olunmayıb, prioritet deyil",'DP və TP'!$AD:$AD,"&lt;=2")</f>
        <v>0</v>
      </c>
      <c r="P37" s="73">
        <f t="shared" si="0"/>
        <v>0</v>
      </c>
    </row>
    <row r="38" spans="1:16" ht="60.75" customHeight="1" x14ac:dyDescent="0.3">
      <c r="A38" s="22">
        <v>28</v>
      </c>
      <c r="B38" s="52" t="s">
        <v>550</v>
      </c>
      <c r="C38" s="35">
        <f>COUNTIFS('DP və TP'!$B:$B,B38,'DP və TP'!$AD:$AD,"&lt;=2")</f>
        <v>4</v>
      </c>
      <c r="D38" s="42">
        <f>COUNTIFS('DP və TP'!$B:$B,B38,'DP və TP'!$Y:$Y,"Tam icra",'DP və TP'!$AD:$AD,"&lt;=2")</f>
        <v>1</v>
      </c>
      <c r="E38" s="27">
        <f>COUNTIFS('DP və TP'!$B:$B,B38,
'DP və TP'!$Y:$Y,"Qismən icra",'DP və TP'!$AD:$AD,"&lt;=2")</f>
        <v>3</v>
      </c>
      <c r="F38" s="27">
        <f>COUNTIFS('DP və TP'!$B:$B,B38,
'DP və TP'!$Y:$Y,"İcra müddətinə var",'DP və TP'!$AD:$AD,"&lt;=2")</f>
        <v>0</v>
      </c>
      <c r="G38" s="27">
        <f>COUNTIFS('DP və TP'!$B:$B,B38,
'DP və TP'!$Y:$Y,"Gecikmə",'DP və TP'!$AD:$AD,"&lt;=2")</f>
        <v>0</v>
      </c>
      <c r="H38" s="27">
        <f>COUNTIFS('DP və TP'!$B:$B,B38,
'DP və TP'!$Y:$Y,"İcra olunmayıb",'DP və TP'!$AD:$AD,"&lt;=2")</f>
        <v>0</v>
      </c>
      <c r="I38" s="27">
        <f>COUNTIFS('DP və TP'!$B:$B,B38,
'DP və TP'!$Y:$Y,"İcra olunmayıb, prioritet deyil",'DP və TP'!$AD:$AD,"&lt;=2")</f>
        <v>0</v>
      </c>
      <c r="J38" s="28">
        <f>COUNTIFS('DP və TP'!$B:$B,B38,
'DP və TP'!$K:$K,"Tapşırıqların İcrasına Nəzarət platforması üzrə",
'DP və TP'!$Y:$Y,"Tam icra",'DP və TP'!$AD:$AD,"&lt;=2")</f>
        <v>1</v>
      </c>
      <c r="K38" s="28">
        <f>COUNTIFS('DP və TP'!$B:$B,B38,
'DP və TP'!$K:$K,"Tapşırıqların İcrasına Nəzarət platforması üzrə",
'DP və TP'!$Y:$Y,"Qismən icra",'DP və TP'!$AD:$AD,"&lt;=2")</f>
        <v>0</v>
      </c>
      <c r="L38" s="28">
        <f>COUNTIFS('DP və TP'!$B:$B,B38,
'DP və TP'!$K:$K,"Tapşırıqların İcrasına Nəzarət platforması üzrə",
'DP və TP'!$Y:$Y,"İcra müddətinə var",'DP və TP'!$AD:$AD,"&lt;=2")</f>
        <v>0</v>
      </c>
      <c r="M38" s="28">
        <f>COUNTIFS('DP və TP'!$B:$B,B38,
'DP və TP'!$K:$K,"Tapşırıqların İcrasına Nəzarət platforması üzrə",
'DP və TP'!$Y:$Y,"Gecikmə",'DP və TP'!$AD:$AD,"&lt;=2")</f>
        <v>0</v>
      </c>
      <c r="N38" s="28">
        <f>COUNTIFS('DP və TP'!$B:$B,B38,
'DP və TP'!$K:$K,"Tapşırıqların İcrasına Nəzarət platforması üzrə",
'DP və TP'!$Y:$Y,"İcra olunmayıb",'DP və TP'!$AD:$AD,"&lt;=2")</f>
        <v>0</v>
      </c>
      <c r="O38" s="29">
        <f>COUNTIFS('DP və TP'!$B:$B,B38,
'DP və TP'!$K:$K,"Tapşırıqların İcrasına Nəzarət platforması üzrə",
'DP və TP'!$Y:$Y,"İcra olunmayıb, prioritet deyil",'DP və TP'!$AD:$AD,"&lt;=2")</f>
        <v>0</v>
      </c>
      <c r="P38" s="73">
        <f t="shared" si="0"/>
        <v>1</v>
      </c>
    </row>
    <row r="39" spans="1:16" ht="16.5" customHeight="1" x14ac:dyDescent="0.3">
      <c r="A39" s="153" t="s">
        <v>1088</v>
      </c>
      <c r="B39" s="153"/>
      <c r="C39" s="1">
        <f t="shared" ref="C39:I39" si="1">SUM(C11:C38)</f>
        <v>319</v>
      </c>
      <c r="D39" s="57">
        <f t="shared" si="1"/>
        <v>107</v>
      </c>
      <c r="E39" s="57">
        <f t="shared" si="1"/>
        <v>36</v>
      </c>
      <c r="F39" s="57">
        <f t="shared" si="1"/>
        <v>96</v>
      </c>
      <c r="G39" s="57">
        <f t="shared" si="1"/>
        <v>14</v>
      </c>
      <c r="H39" s="57">
        <f t="shared" si="1"/>
        <v>14</v>
      </c>
      <c r="I39" s="57">
        <f t="shared" si="1"/>
        <v>52</v>
      </c>
      <c r="J39" s="75">
        <f t="shared" ref="J39:P39" si="2">SUM(J11:J33)</f>
        <v>15</v>
      </c>
      <c r="K39" s="75">
        <f t="shared" si="2"/>
        <v>5</v>
      </c>
      <c r="L39" s="75">
        <f t="shared" si="2"/>
        <v>11</v>
      </c>
      <c r="M39" s="75">
        <f t="shared" si="2"/>
        <v>3</v>
      </c>
      <c r="N39" s="75">
        <f t="shared" si="2"/>
        <v>1</v>
      </c>
      <c r="O39" s="75">
        <f t="shared" si="2"/>
        <v>5</v>
      </c>
      <c r="P39" s="40">
        <f t="shared" si="2"/>
        <v>40</v>
      </c>
    </row>
    <row r="40" spans="1:16" ht="15.75" customHeight="1" x14ac:dyDescent="0.3">
      <c r="B40" s="62"/>
      <c r="C40" s="62"/>
    </row>
    <row r="41" spans="1:16" ht="31.5" customHeight="1" x14ac:dyDescent="0.3">
      <c r="B41" s="65"/>
      <c r="C41" s="65"/>
      <c r="D41" s="65"/>
    </row>
    <row r="42" spans="1:16" ht="27" customHeight="1" x14ac:dyDescent="0.3">
      <c r="B42" s="65"/>
      <c r="C42" s="65"/>
      <c r="D42" s="65"/>
    </row>
    <row r="43" spans="1:16" ht="25.5" customHeight="1" x14ac:dyDescent="0.3">
      <c r="B43" s="65"/>
      <c r="C43" s="65"/>
      <c r="D43" s="65"/>
    </row>
    <row r="45" spans="1:16" ht="15" customHeight="1" x14ac:dyDescent="0.3">
      <c r="B45" s="66"/>
      <c r="C45" s="66"/>
    </row>
    <row r="46" spans="1:16" ht="18" customHeight="1" x14ac:dyDescent="0.3">
      <c r="B46" s="66"/>
      <c r="C46" s="66"/>
    </row>
  </sheetData>
  <mergeCells count="6">
    <mergeCell ref="J9:P9"/>
    <mergeCell ref="A39:B39"/>
    <mergeCell ref="A9:A10"/>
    <mergeCell ref="B9:B10"/>
    <mergeCell ref="C9:C10"/>
    <mergeCell ref="D9:I9"/>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6"/>
  <sheetViews>
    <sheetView topLeftCell="A29" zoomScaleNormal="100" workbookViewId="0">
      <selection activeCell="F12" sqref="F12"/>
    </sheetView>
  </sheetViews>
  <sheetFormatPr defaultColWidth="8.6640625" defaultRowHeight="15" customHeight="1" x14ac:dyDescent="0.3"/>
  <cols>
    <col min="2" max="2" width="93.44140625" customWidth="1"/>
    <col min="3" max="3" width="13.5546875" customWidth="1"/>
    <col min="4" max="4" width="9.5546875" customWidth="1"/>
    <col min="5" max="5" width="11.44140625" customWidth="1"/>
    <col min="6" max="6" width="16.6640625" customWidth="1"/>
    <col min="7" max="7" width="10.6640625" customWidth="1"/>
    <col min="8" max="8" width="12.5546875" customWidth="1"/>
    <col min="9" max="9" width="12.109375" customWidth="1"/>
    <col min="10" max="11" width="10.6640625" customWidth="1"/>
    <col min="12" max="12" width="11.5546875" customWidth="1"/>
    <col min="13" max="13" width="10.6640625" customWidth="1"/>
    <col min="14" max="14" width="11.44140625" customWidth="1"/>
    <col min="15" max="15" width="11.5546875" customWidth="1"/>
    <col min="16" max="16" width="7.5546875" customWidth="1"/>
    <col min="17" max="17" width="33.5546875" customWidth="1"/>
  </cols>
  <sheetData>
    <row r="1" spans="1:16" ht="30" customHeight="1" x14ac:dyDescent="0.3">
      <c r="A1" s="13"/>
      <c r="B1" s="14" t="s">
        <v>1072</v>
      </c>
      <c r="C1" s="14"/>
      <c r="D1" s="13"/>
      <c r="E1" s="15" t="s">
        <v>1073</v>
      </c>
      <c r="F1" s="15" t="s">
        <v>1074</v>
      </c>
      <c r="G1" s="15" t="s">
        <v>1075</v>
      </c>
      <c r="H1" s="13"/>
      <c r="I1" s="13"/>
    </row>
    <row r="2" spans="1:16" ht="30" customHeight="1" x14ac:dyDescent="0.3">
      <c r="A2" s="13"/>
      <c r="B2" s="14" t="s">
        <v>1076</v>
      </c>
      <c r="C2" s="14"/>
      <c r="D2" s="13"/>
      <c r="E2" s="16" t="s">
        <v>1077</v>
      </c>
      <c r="F2" s="16">
        <f>A38</f>
        <v>28</v>
      </c>
      <c r="G2" s="16">
        <f>SUM(G3:G4)</f>
        <v>319</v>
      </c>
      <c r="H2" s="13"/>
      <c r="I2" s="13"/>
    </row>
    <row r="3" spans="1:16" ht="30" customHeight="1" x14ac:dyDescent="0.3">
      <c r="A3" s="13"/>
      <c r="B3" s="14" t="s">
        <v>1078</v>
      </c>
      <c r="C3" s="14"/>
      <c r="D3" s="13"/>
      <c r="E3" s="16" t="s">
        <v>1079</v>
      </c>
      <c r="F3" s="17">
        <v>18</v>
      </c>
      <c r="G3" s="16">
        <f>COUNTIFS('DP və TP'!J:J,"Əsas icraçı",'DP və TP'!$AD:$AD,"&lt;=2")</f>
        <v>159</v>
      </c>
      <c r="H3" s="13"/>
      <c r="I3" s="13"/>
    </row>
    <row r="4" spans="1:16" ht="30" customHeight="1" x14ac:dyDescent="0.3">
      <c r="A4" s="13"/>
      <c r="B4" s="14" t="s">
        <v>1080</v>
      </c>
      <c r="C4" s="14"/>
      <c r="D4" s="13"/>
      <c r="E4" s="16" t="s">
        <v>1081</v>
      </c>
      <c r="F4" s="18">
        <v>19</v>
      </c>
      <c r="G4" s="16">
        <f>COUNTIFS('DP və TP'!J:J,"Digər icraçı",'DP və TP'!$AD:$AD,"&lt;=2")</f>
        <v>160</v>
      </c>
      <c r="H4" s="13"/>
      <c r="I4" s="13"/>
    </row>
    <row r="5" spans="1:16" ht="15" customHeight="1" x14ac:dyDescent="0.3">
      <c r="A5" s="13"/>
      <c r="B5" s="14" t="s">
        <v>1082</v>
      </c>
      <c r="C5" s="14"/>
      <c r="D5" s="13"/>
      <c r="E5" s="13"/>
      <c r="F5" s="13"/>
      <c r="G5" s="13"/>
      <c r="H5" s="13"/>
      <c r="I5" s="13"/>
    </row>
    <row r="8" spans="1:16" ht="15.75" customHeight="1" x14ac:dyDescent="0.3"/>
    <row r="9" spans="1:16" ht="35.25" customHeight="1" x14ac:dyDescent="0.3">
      <c r="A9" s="154" t="s">
        <v>1083</v>
      </c>
      <c r="B9" s="155" t="s">
        <v>1084</v>
      </c>
      <c r="C9" s="158" t="s">
        <v>1085</v>
      </c>
      <c r="D9" s="157" t="s">
        <v>1086</v>
      </c>
      <c r="E9" s="157"/>
      <c r="F9" s="157"/>
      <c r="G9" s="157"/>
      <c r="H9" s="157"/>
      <c r="I9" s="157"/>
      <c r="J9" s="152" t="s">
        <v>1087</v>
      </c>
      <c r="K9" s="152"/>
      <c r="L9" s="152"/>
      <c r="M9" s="152"/>
      <c r="N9" s="152"/>
      <c r="O9" s="152"/>
      <c r="P9" s="152"/>
    </row>
    <row r="10" spans="1:16" ht="61.5" customHeight="1" x14ac:dyDescent="0.3">
      <c r="A10" s="154"/>
      <c r="B10" s="155"/>
      <c r="C10" s="158"/>
      <c r="D10" s="70" t="s">
        <v>43</v>
      </c>
      <c r="E10" s="21" t="s">
        <v>42</v>
      </c>
      <c r="F10" s="21" t="s">
        <v>79</v>
      </c>
      <c r="G10" s="21" t="s">
        <v>185</v>
      </c>
      <c r="H10" s="21" t="s">
        <v>75</v>
      </c>
      <c r="I10" s="21" t="s">
        <v>91</v>
      </c>
      <c r="J10" s="76" t="s">
        <v>43</v>
      </c>
      <c r="K10" s="76" t="s">
        <v>42</v>
      </c>
      <c r="L10" s="76" t="s">
        <v>79</v>
      </c>
      <c r="M10" s="76" t="s">
        <v>185</v>
      </c>
      <c r="N10" s="76" t="s">
        <v>75</v>
      </c>
      <c r="O10" s="76" t="s">
        <v>91</v>
      </c>
      <c r="P10" s="2" t="s">
        <v>1088</v>
      </c>
    </row>
    <row r="11" spans="1:16" ht="36.75" customHeight="1" x14ac:dyDescent="0.3">
      <c r="A11" s="22">
        <v>1</v>
      </c>
      <c r="B11" s="23" t="s">
        <v>278</v>
      </c>
      <c r="C11" s="77">
        <f>COUNTIFS('DP və TP'!$B:$B,B11,'DP və TP'!$AD:$AD,"&lt;=2")</f>
        <v>12</v>
      </c>
      <c r="D11" s="78">
        <f>COUNTIFS('DP və TP'!$B:$B,B11,'DP və TP'!$Z:$Z,"Tam icra",'DP və TP'!$AD:$AD,"&lt;=2")</f>
        <v>0</v>
      </c>
      <c r="E11" s="26">
        <f>COUNTIFS('DP və TP'!$B:$B,B11,
'DP və TP'!$Z:$Z,"Qismən icra",'DP və TP'!$AD:$AD,"&lt;=2")</f>
        <v>0</v>
      </c>
      <c r="F11" s="72">
        <f>COUNTIFS('DP və TP'!$B:$B,B11,
'DP və TP'!$Z:$Z,"İcra müddətinə var",'DP və TP'!$AD:$AD,"&lt;=2")</f>
        <v>0</v>
      </c>
      <c r="G11" s="26">
        <f>COUNTIFS('DP və TP'!$B:$B,B11,
'DP və TP'!$Z:$Z,"Gecikmə",'DP və TP'!$AD:$AD,"&lt;=2")</f>
        <v>0</v>
      </c>
      <c r="H11" s="26">
        <f>COUNTIFS('DP və TP'!$B:$B,B11,
'DP və TP'!$Z:$Z,"İcra olunmayıb",'DP və TP'!$AD:$AD,"&lt;=2")</f>
        <v>0</v>
      </c>
      <c r="I11" s="26">
        <f>COUNTIFS('DP və TP'!$B:$B,B11,
'DP və TP'!$Z:$Z,"İcra olunmayıb, prioritet deyil",'DP və TP'!$AD:$AD,"&lt;=2")</f>
        <v>0</v>
      </c>
      <c r="J11" s="79">
        <f>COUNTIFS('DP və TP'!$B:$B,B11,
'DP və TP'!$K:$K,"Tapşırıqların İcrasına Nəzarət platforması üzrə",
'DP və TP'!$Z:$Z,"Tam icra",'DP və TP'!$AD:$AD,"&lt;=2")</f>
        <v>0</v>
      </c>
      <c r="K11" s="79">
        <f>COUNTIFS('DP və TP'!$B:$B,B11,
'DP və TP'!$K:$K,"Tapşırıqların İcrasına Nəzarət platforması üzrə",
'DP və TP'!$Z:$Z,"Qismən icra",'DP və TP'!$AD:$AD,"&lt;=2")</f>
        <v>0</v>
      </c>
      <c r="L11" s="79">
        <f>COUNTIFS('DP və TP'!$B:$B,B11,
'DP və TP'!$K:$K,"Tapşırıqların İcrasına Nəzarət platforması üzrə",
'DP və TP'!$Z:$Z,"İcra müddətinə var",'DP və TP'!$AD:$AD,"&lt;=2")</f>
        <v>0</v>
      </c>
      <c r="M11" s="79">
        <f>COUNTIFS('DP və TP'!$B:$B,B11,
'DP və TP'!$K:$K,"Tapşırıqların İcrasına Nəzarət platforması üzrə",
'DP və TP'!$Z:$Z,"Gecikmə",'DP və TP'!$AD:$AD,"&lt;=2")</f>
        <v>0</v>
      </c>
      <c r="N11" s="79">
        <f>COUNTIFS('DP və TP'!$B:$B,B11,
'DP və TP'!$K:$K,"Tapşırıqların İcrasına Nəzarət platforması üzrə",
'DP və TP'!$Z:$Z,"İcra olunmayıb",'DP və TP'!$AD:$AD,"&lt;=2")</f>
        <v>0</v>
      </c>
      <c r="O11" s="80">
        <f>COUNTIFS('DP və TP'!$B:$B,B11,
'DP və TP'!$K:$K,"Tapşırıqların İcrasına Nəzarət platforması üzrə",
'DP və TP'!$Z:$Z,"İcra olunmayıb, prioritet deyil",'DP və TP'!$AD:$AD,"&lt;=2")</f>
        <v>0</v>
      </c>
      <c r="P11" s="30">
        <f>SUM(J11:O11)</f>
        <v>0</v>
      </c>
    </row>
    <row r="12" spans="1:16" ht="36.75" customHeight="1" x14ac:dyDescent="0.3">
      <c r="A12" s="22">
        <v>2</v>
      </c>
      <c r="B12" s="23" t="s">
        <v>523</v>
      </c>
      <c r="C12" s="77">
        <f>COUNTIFS('DP və TP'!$B:$B,B12,'DP və TP'!$AD:$AD,"&lt;=2")</f>
        <v>5</v>
      </c>
      <c r="D12" s="81">
        <f>COUNTIFS('DP və TP'!$B:$B,B12,'DP və TP'!$Z:$Z,"Tam icra",'DP və TP'!$AD:$AD,"&lt;=2")</f>
        <v>0</v>
      </c>
      <c r="E12" s="48">
        <f>COUNTIFS('DP və TP'!$B:$B,B12,
'DP və TP'!$Z:$Z,"Qismən icra",'DP və TP'!$AD:$AD,"&lt;=2")</f>
        <v>0</v>
      </c>
      <c r="F12" s="35">
        <f>COUNTIFS('DP və TP'!$B:$B,B12,
'DP və TP'!$Z:$Z,"İcra müddətinə var",'DP və TP'!$AD:$AD,"&lt;=2")</f>
        <v>0</v>
      </c>
      <c r="G12" s="31">
        <f>COUNTIFS('DP və TP'!$B:$B,B12,
'DP və TP'!$Z:$Z,"Gecikmə",'DP və TP'!$AD:$AD,"&lt;=2")</f>
        <v>0</v>
      </c>
      <c r="H12" s="32">
        <f>COUNTIFS('DP və TP'!$B:$B,B12,
'DP və TP'!$Z:$Z,"İcra olunmayıb",'DP və TP'!$AD:$AD,"&lt;=2")</f>
        <v>0</v>
      </c>
      <c r="I12" s="32">
        <f>COUNTIFS('DP və TP'!$B:$B,B12,
'DP və TP'!$Z:$Z,"İcra olunmayıb, prioritet deyil",'DP və TP'!$AD:$AD,"&lt;=2")</f>
        <v>0</v>
      </c>
      <c r="J12" s="33">
        <f>COUNTIFS('DP və TP'!$B:$B,B12,
'DP və TP'!$K:$K,"Tapşırıqların İcrasına Nəzarət platforması üzrə",
'DP və TP'!$Z:$Z,"Tam icra",'DP və TP'!$AD:$AD,"&lt;=2")</f>
        <v>0</v>
      </c>
      <c r="K12" s="33">
        <f>COUNTIFS('DP və TP'!$B:$B,B12,
'DP və TP'!$K:$K,"Tapşırıqların İcrasına Nəzarət platforması üzrə",
'DP və TP'!$Z:$Z,"Qismən icra",'DP və TP'!$AD:$AD,"&lt;=2")</f>
        <v>0</v>
      </c>
      <c r="L12" s="33">
        <f>COUNTIFS('DP və TP'!$B:$B,B12,
'DP və TP'!$K:$K,"Tapşırıqların İcrasına Nəzarət platforması üzrə",
'DP və TP'!$Z:$Z,"İcra müddətinə var",'DP və TP'!$AD:$AD,"&lt;=2")</f>
        <v>0</v>
      </c>
      <c r="M12" s="33">
        <f>COUNTIFS('DP və TP'!$B:$B,B12,
'DP və TP'!$K:$K,"Tapşırıqların İcrasına Nəzarət platforması üzrə",
'DP və TP'!$Z:$Z,"Gecikmə",'DP və TP'!$AD:$AD,"&lt;=2")</f>
        <v>0</v>
      </c>
      <c r="N12" s="33">
        <f>COUNTIFS('DP və TP'!$B:$B,B12,
'DP və TP'!$K:$K,"Tapşırıqların İcrasına Nəzarət platforması üzrə",
'DP və TP'!$Z:$Z,"İcra olunmayıb",'DP və TP'!$AD:$AD,"&lt;=2")</f>
        <v>0</v>
      </c>
      <c r="O12" s="34">
        <f>COUNTIFS('DP və TP'!$B:$B,B12,
'DP və TP'!$K:$K,"Tapşırıqların İcrasına Nəzarət platforması üzrə",
'DP və TP'!$Z:$Z,"İcra olunmayıb, prioritet deyil",'DP və TP'!$AD:$AD,"&lt;=2")</f>
        <v>0</v>
      </c>
      <c r="P12" s="30"/>
    </row>
    <row r="13" spans="1:16" ht="78" customHeight="1" x14ac:dyDescent="0.3">
      <c r="A13" s="22">
        <v>3</v>
      </c>
      <c r="B13" s="23" t="s">
        <v>436</v>
      </c>
      <c r="C13" s="77">
        <f>COUNTIFS('DP və TP'!$B:$B,B13,'DP və TP'!$AD:$AD,"&lt;=2")</f>
        <v>1</v>
      </c>
      <c r="D13" s="81">
        <f>COUNTIFS('DP və TP'!$B:$B,B13,'DP və TP'!$Z:$Z,"Tam icra",'DP və TP'!$AD:$AD,"&lt;=2")</f>
        <v>0</v>
      </c>
      <c r="E13" s="32">
        <f>COUNTIFS('DP və TP'!$B:$B,B13,
'DP və TP'!$Z:$Z,"Qismən icra",'DP və TP'!$AD:$AD,"&lt;=2")</f>
        <v>0</v>
      </c>
      <c r="F13" s="27">
        <f>COUNTIFS('DP və TP'!$B:$B,B13,
'DP və TP'!$Z:$Z,"İcra müddətinə var",'DP və TP'!$AD:$AD,"&lt;=2")</f>
        <v>0</v>
      </c>
      <c r="G13" s="32">
        <f>COUNTIFS('DP və TP'!$B:$B,B13,
'DP və TP'!$Z:$Z,"Gecikmə",'DP və TP'!$AD:$AD,"&lt;=2")</f>
        <v>0</v>
      </c>
      <c r="H13" s="32">
        <f>COUNTIFS('DP və TP'!$B:$B,B13,
'DP və TP'!$Z:$Z,"İcra olunmayıb",'DP və TP'!$AD:$AD,"&lt;=2")</f>
        <v>0</v>
      </c>
      <c r="I13" s="32">
        <f>COUNTIFS('DP və TP'!$B:$B,B13,
'DP və TP'!$Z:$Z,"İcra olunmayıb, prioritet deyil",'DP və TP'!$AD:$AD,"&lt;=2")</f>
        <v>0</v>
      </c>
      <c r="J13" s="33">
        <f>COUNTIFS('DP və TP'!$B:$B,B13,
'DP və TP'!$K:$K,"Tapşırıqların İcrasına Nəzarət platforması üzrə",
'DP və TP'!$Z:$Z,"Tam icra",'DP və TP'!$AD:$AD,"&lt;=2")</f>
        <v>0</v>
      </c>
      <c r="K13" s="33">
        <f>COUNTIFS('DP və TP'!$B:$B,B13,
'DP və TP'!$K:$K,"Tapşırıqların İcrasına Nəzarət platforması üzrə",
'DP və TP'!$Z:$Z,"Qismən icra",'DP və TP'!$AD:$AD,"&lt;=2")</f>
        <v>0</v>
      </c>
      <c r="L13" s="33">
        <f>COUNTIFS('DP və TP'!$B:$B,B13,
'DP və TP'!$K:$K,"Tapşırıqların İcrasına Nəzarət platforması üzrə",
'DP və TP'!$Z:$Z,"İcra müddətinə var",'DP və TP'!$AD:$AD,"&lt;=2")</f>
        <v>0</v>
      </c>
      <c r="M13" s="33">
        <f>COUNTIFS('DP və TP'!$B:$B,B13,
'DP və TP'!$K:$K,"Tapşırıqların İcrasına Nəzarət platforması üzrə",
'DP və TP'!$Z:$Z,"Gecikmə",'DP və TP'!$AD:$AD,"&lt;=2")</f>
        <v>0</v>
      </c>
      <c r="N13" s="33">
        <f>COUNTIFS('DP və TP'!$B:$B,B13,
'DP və TP'!$K:$K,"Tapşırıqların İcrasına Nəzarət platforması üzrə",
'DP və TP'!$Z:$Z,"İcra olunmayıb",'DP və TP'!$AD:$AD,"&lt;=2")</f>
        <v>0</v>
      </c>
      <c r="O13" s="34">
        <f>COUNTIFS('DP və TP'!$B:$B,B13,
'DP və TP'!$K:$K,"Tapşırıqların İcrasına Nəzarət platforması üzrə",
'DP və TP'!$Z:$Z,"İcra olunmayıb, prioritet deyil",'DP və TP'!$AD:$AD,"&lt;=2")</f>
        <v>0</v>
      </c>
      <c r="P13" s="38">
        <f t="shared" ref="P13:P20" si="0">SUM(J13:O13)</f>
        <v>0</v>
      </c>
    </row>
    <row r="14" spans="1:16" ht="50.25" customHeight="1" x14ac:dyDescent="0.3">
      <c r="A14" s="22">
        <v>4</v>
      </c>
      <c r="B14" s="23" t="s">
        <v>309</v>
      </c>
      <c r="C14" s="77">
        <f>COUNTIFS('DP və TP'!$B:$B,B14,'DP və TP'!$AD:$AD,"&lt;=2")</f>
        <v>7</v>
      </c>
      <c r="D14" s="81">
        <f>COUNTIFS('DP və TP'!$B:$B,B14,'DP və TP'!$Z:$Z,"Tam icra",'DP və TP'!$AD:$AD,"&lt;=2")</f>
        <v>0</v>
      </c>
      <c r="E14" s="32">
        <f>COUNTIFS('DP və TP'!$B:$B,B14,
'DP və TP'!$Z:$Z,"Qismən icra",'DP və TP'!$AD:$AD,"&lt;=2")</f>
        <v>0</v>
      </c>
      <c r="F14" s="32">
        <f>COUNTIFS('DP və TP'!$B:$B,B14,
'DP və TP'!$Z:$Z,"İcra müddətinə var",'DP və TP'!$AD:$AD,"&lt;=2")</f>
        <v>0</v>
      </c>
      <c r="G14" s="32">
        <f>COUNTIFS('DP və TP'!$B:$B,B14,
'DP və TP'!$Z:$Z,"Gecikmə",'DP və TP'!$AD:$AD,"&lt;=2")</f>
        <v>0</v>
      </c>
      <c r="H14" s="32">
        <f>COUNTIFS('DP və TP'!$B:$B,B14,
'DP və TP'!$Z:$Z,"İcra olunmayıb",'DP və TP'!$AD:$AD,"&lt;=2")</f>
        <v>0</v>
      </c>
      <c r="I14" s="32">
        <f>COUNTIFS('DP və TP'!$B:$B,B14,
'DP və TP'!$Z:$Z,"İcra olunmayıb, prioritet deyil",'DP və TP'!$AD:$AD,"&lt;=2")</f>
        <v>0</v>
      </c>
      <c r="J14" s="33">
        <f>COUNTIFS('DP və TP'!$B:$B,B14,
'DP və TP'!$K:$K,"Tapşırıqların İcrasına Nəzarət platforması üzrə",
'DP və TP'!$Z:$Z,"Tam icra",'DP və TP'!$AD:$AD,"&lt;=2")</f>
        <v>0</v>
      </c>
      <c r="K14" s="33">
        <f>COUNTIFS('DP və TP'!$B:$B,B14,
'DP və TP'!$K:$K,"Tapşırıqların İcrasına Nəzarət platforması üzrə",
'DP və TP'!$Z:$Z,"Qismən icra",'DP və TP'!$AD:$AD,"&lt;=2")</f>
        <v>0</v>
      </c>
      <c r="L14" s="33">
        <f>COUNTIFS('DP və TP'!$B:$B,B14,
'DP və TP'!$K:$K,"Tapşırıqların İcrasına Nəzarət platforması üzrə",
'DP və TP'!$Z:$Z,"İcra müddətinə var",'DP və TP'!$AD:$AD,"&lt;=2")</f>
        <v>0</v>
      </c>
      <c r="M14" s="33">
        <f>COUNTIFS('DP və TP'!$B:$B,B14,
'DP və TP'!$K:$K,"Tapşırıqların İcrasına Nəzarət platforması üzrə",
'DP və TP'!$Z:$Z,"Gecikmə",'DP və TP'!$AD:$AD,"&lt;=2")</f>
        <v>0</v>
      </c>
      <c r="N14" s="33">
        <f>COUNTIFS('DP və TP'!$B:$B,B14,
'DP və TP'!$K:$K,"Tapşırıqların İcrasına Nəzarət platforması üzrə",
'DP və TP'!$Z:$Z,"İcra olunmayıb",'DP və TP'!$AD:$AD,"&lt;=2")</f>
        <v>0</v>
      </c>
      <c r="O14" s="34">
        <f>COUNTIFS('DP və TP'!$B:$B,B14,
'DP və TP'!$K:$K,"Tapşırıqların İcrasına Nəzarət platforması üzrə",
'DP və TP'!$Z:$Z,"İcra olunmayıb, prioritet deyil",'DP və TP'!$AD:$AD,"&lt;=2")</f>
        <v>0</v>
      </c>
      <c r="P14" s="40">
        <f t="shared" si="0"/>
        <v>0</v>
      </c>
    </row>
    <row r="15" spans="1:16" ht="51" customHeight="1" x14ac:dyDescent="0.3">
      <c r="A15" s="22">
        <v>5</v>
      </c>
      <c r="B15" s="23" t="s">
        <v>146</v>
      </c>
      <c r="C15" s="77">
        <f>COUNTIFS('DP və TP'!$B:$B,B15,'DP və TP'!$AD:$AD,"&lt;=2")</f>
        <v>2</v>
      </c>
      <c r="D15" s="81">
        <f>COUNTIFS('DP və TP'!$B:$B,B15,'DP və TP'!$Z:$Z,"Tam icra",'DP və TP'!$AD:$AD,"&lt;=2")</f>
        <v>0</v>
      </c>
      <c r="E15" s="32">
        <f>COUNTIFS('DP və TP'!$B:$B,B15,
'DP və TP'!$Z:$Z,"Qismən icra",'DP və TP'!$AD:$AD,"&lt;=2")</f>
        <v>0</v>
      </c>
      <c r="F15" s="32">
        <f>COUNTIFS('DP və TP'!$B:$B,B15,
'DP və TP'!$Z:$Z,"İcra müddətinə var",'DP və TP'!$AD:$AD,"&lt;=2")</f>
        <v>0</v>
      </c>
      <c r="G15" s="32">
        <f>COUNTIFS('DP və TP'!$B:$B,B15,
'DP və TP'!$Z:$Z,"Gecikmə",'DP və TP'!$AD:$AD,"&lt;=2")</f>
        <v>0</v>
      </c>
      <c r="H15" s="32">
        <f>COUNTIFS('DP və TP'!$B:$B,B15,
'DP və TP'!$Z:$Z,"İcra olunmayıb",'DP və TP'!$AD:$AD,"&lt;=2")</f>
        <v>0</v>
      </c>
      <c r="I15" s="32">
        <f>COUNTIFS('DP və TP'!$B:$B,B15,
'DP və TP'!$Z:$Z,"İcra olunmayıb, prioritet deyil",'DP və TP'!$AD:$AD,"&lt;=2")</f>
        <v>0</v>
      </c>
      <c r="J15" s="33">
        <f>COUNTIFS('DP və TP'!$B:$B,B15,
'DP və TP'!$K:$K,"Tapşırıqların İcrasına Nəzarət platforması üzrə",
'DP və TP'!$Z:$Z,"Tam icra",'DP və TP'!$AD:$AD,"&lt;=2")</f>
        <v>0</v>
      </c>
      <c r="K15" s="33">
        <f>COUNTIFS('DP və TP'!$B:$B,B15,
'DP və TP'!$K:$K,"Tapşırıqların İcrasına Nəzarət platforması üzrə",
'DP və TP'!$Z:$Z,"Qismən icra",'DP və TP'!$AD:$AD,"&lt;=2")</f>
        <v>0</v>
      </c>
      <c r="L15" s="33">
        <f>COUNTIFS('DP və TP'!$B:$B,B15,
'DP və TP'!$K:$K,"Tapşırıqların İcrasına Nəzarət platforması üzrə",
'DP və TP'!$Z:$Z,"İcra müddətinə var",'DP və TP'!$AD:$AD,"&lt;=2")</f>
        <v>0</v>
      </c>
      <c r="M15" s="33">
        <f>COUNTIFS('DP və TP'!$B:$B,B15,
'DP və TP'!$K:$K,"Tapşırıqların İcrasına Nəzarət platforması üzrə",
'DP və TP'!$Z:$Z,"Gecikmə",'DP və TP'!$AD:$AD,"&lt;=2")</f>
        <v>0</v>
      </c>
      <c r="N15" s="33">
        <f>COUNTIFS('DP və TP'!$B:$B,B15,
'DP və TP'!$K:$K,"Tapşırıqların İcrasına Nəzarət platforması üzrə",
'DP və TP'!$Z:$Z,"İcra olunmayıb",'DP və TP'!$AD:$AD,"&lt;=2")</f>
        <v>0</v>
      </c>
      <c r="O15" s="34">
        <f>COUNTIFS('DP və TP'!$B:$B,B15,
'DP və TP'!$K:$K,"Tapşırıqların İcrasına Nəzarət platforması üzrə",
'DP və TP'!$Z:$Z,"İcra olunmayıb, prioritet deyil",'DP və TP'!$AD:$AD,"&lt;=2")</f>
        <v>0</v>
      </c>
      <c r="P15" s="43">
        <f t="shared" si="0"/>
        <v>0</v>
      </c>
    </row>
    <row r="16" spans="1:16" ht="39" customHeight="1" x14ac:dyDescent="0.3">
      <c r="A16" s="22">
        <v>6</v>
      </c>
      <c r="B16" s="23" t="s">
        <v>442</v>
      </c>
      <c r="C16" s="77">
        <f>COUNTIFS('DP və TP'!$B:$B,B16,'DP və TP'!$AD:$AD,"&lt;=2")</f>
        <v>5</v>
      </c>
      <c r="D16" s="81">
        <f>COUNTIFS('DP və TP'!$B:$B,B16,'DP və TP'!$Z:$Z,"Tam icra",'DP və TP'!$AD:$AD,"&lt;=2")</f>
        <v>0</v>
      </c>
      <c r="E16" s="32">
        <f>COUNTIFS('DP və TP'!$B:$B,B16,
'DP və TP'!$Z:$Z,"Qismən icra",'DP və TP'!$AD:$AD,"&lt;=2")</f>
        <v>0</v>
      </c>
      <c r="F16" s="32">
        <f>COUNTIFS('DP və TP'!$B:$B,B16,
'DP və TP'!$Z:$Z,"İcra müddətinə var",'DP və TP'!$AD:$AD,"&lt;=2")</f>
        <v>0</v>
      </c>
      <c r="G16" s="32">
        <f>COUNTIFS('DP və TP'!$B:$B,B16,
'DP və TP'!$Z:$Z,"Gecikmə",'DP və TP'!$AD:$AD,"&lt;=2")</f>
        <v>0</v>
      </c>
      <c r="H16" s="32">
        <f>COUNTIFS('DP və TP'!$B:$B,B16,
'DP və TP'!$Z:$Z,"İcra olunmayıb",'DP və TP'!$AD:$AD,"&lt;=2")</f>
        <v>0</v>
      </c>
      <c r="I16" s="32">
        <f>COUNTIFS('DP və TP'!$B:$B,B16,
'DP və TP'!$Z:$Z,"İcra olunmayıb, prioritet deyil",'DP və TP'!$AD:$AD,"&lt;=2")</f>
        <v>0</v>
      </c>
      <c r="J16" s="33">
        <f>COUNTIFS('DP və TP'!$B:$B,B16,
'DP və TP'!$K:$K,"Tapşırıqların İcrasına Nəzarət platforması üzrə",
'DP və TP'!$Z:$Z,"Tam icra",'DP və TP'!$AD:$AD,"&lt;=2")</f>
        <v>0</v>
      </c>
      <c r="K16" s="33">
        <f>COUNTIFS('DP və TP'!$B:$B,B16,
'DP və TP'!$K:$K,"Tapşırıqların İcrasına Nəzarət platforması üzrə",
'DP və TP'!$Z:$Z,"Qismən icra",'DP və TP'!$AD:$AD,"&lt;=2")</f>
        <v>0</v>
      </c>
      <c r="L16" s="33">
        <f>COUNTIFS('DP və TP'!$B:$B,B16,
'DP və TP'!$K:$K,"Tapşırıqların İcrasına Nəzarət platforması üzrə",
'DP və TP'!$Z:$Z,"İcra müddətinə var",'DP və TP'!$AD:$AD,"&lt;=2")</f>
        <v>0</v>
      </c>
      <c r="M16" s="33">
        <f>COUNTIFS('DP və TP'!$B:$B,B16,
'DP və TP'!$K:$K,"Tapşırıqların İcrasına Nəzarət platforması üzrə",
'DP və TP'!$Z:$Z,"Gecikmə",'DP və TP'!$AD:$AD,"&lt;=2")</f>
        <v>0</v>
      </c>
      <c r="N16" s="33">
        <f>COUNTIFS('DP və TP'!$B:$B,B16,
'DP və TP'!$K:$K,"Tapşırıqların İcrasına Nəzarət platforması üzrə",
'DP və TP'!$Z:$Z,"İcra olunmayıb",'DP və TP'!$AD:$AD,"&lt;=2")</f>
        <v>0</v>
      </c>
      <c r="O16" s="34">
        <f>COUNTIFS('DP və TP'!$B:$B,B16,
'DP və TP'!$K:$K,"Tapşırıqların İcrasına Nəzarət platforması üzrə",
'DP və TP'!$Z:$Z,"İcra olunmayıb, prioritet deyil",'DP və TP'!$AD:$AD,"&lt;=2")</f>
        <v>0</v>
      </c>
      <c r="P16" s="40">
        <f t="shared" si="0"/>
        <v>0</v>
      </c>
    </row>
    <row r="17" spans="1:16" ht="35.25" customHeight="1" x14ac:dyDescent="0.3">
      <c r="A17" s="22">
        <v>7</v>
      </c>
      <c r="B17" s="23" t="s">
        <v>412</v>
      </c>
      <c r="C17" s="77">
        <f>COUNTIFS('DP və TP'!$B:$B,B17,'DP və TP'!$AD:$AD,"&lt;=2")</f>
        <v>6</v>
      </c>
      <c r="D17" s="81">
        <f>COUNTIFS('DP və TP'!$B:$B,B17,'DP və TP'!$Z:$Z,"Tam icra",'DP və TP'!$AD:$AD,"&lt;=2")</f>
        <v>0</v>
      </c>
      <c r="E17" s="32">
        <f>COUNTIFS('DP və TP'!$B:$B,B17,
'DP və TP'!$Z:$Z,"Qismən icra",'DP və TP'!$AD:$AD,"&lt;=2")</f>
        <v>0</v>
      </c>
      <c r="F17" s="32">
        <f>COUNTIFS('DP və TP'!$B:$B,B17,
'DP və TP'!$Z:$Z,"İcra müddətinə var",'DP və TP'!$AD:$AD,"&lt;=2")</f>
        <v>0</v>
      </c>
      <c r="G17" s="32">
        <f>COUNTIFS('DP və TP'!$B:$B,B17,
'DP və TP'!$Z:$Z,"Gecikmə",'DP və TP'!$AD:$AD,"&lt;=2")</f>
        <v>0</v>
      </c>
      <c r="H17" s="32">
        <f>COUNTIFS('DP və TP'!$B:$B,B17,
'DP və TP'!$Z:$Z,"İcra olunmayıb",'DP və TP'!$AD:$AD,"&lt;=2")</f>
        <v>0</v>
      </c>
      <c r="I17" s="32">
        <f>COUNTIFS('DP və TP'!$B:$B,B17,
'DP və TP'!$Z:$Z,"İcra olunmayıb, prioritet deyil",'DP və TP'!$AD:$AD,"&lt;=2")</f>
        <v>0</v>
      </c>
      <c r="J17" s="33">
        <f>COUNTIFS('DP və TP'!$B:$B,B17,
'DP və TP'!$K:$K,"Tapşırıqların İcrasına Nəzarət platforması üzrə",
'DP və TP'!$Z:$Z,"Tam icra",'DP və TP'!$AD:$AD,"&lt;=2")</f>
        <v>0</v>
      </c>
      <c r="K17" s="33">
        <f>COUNTIFS('DP və TP'!$B:$B,B17,
'DP və TP'!$K:$K,"Tapşırıqların İcrasına Nəzarət platforması üzrə",
'DP və TP'!$Z:$Z,"Qismən icra",'DP və TP'!$AD:$AD,"&lt;=2")</f>
        <v>0</v>
      </c>
      <c r="L17" s="33">
        <f>COUNTIFS('DP və TP'!$B:$B,B17,
'DP və TP'!$K:$K,"Tapşırıqların İcrasına Nəzarət platforması üzrə",
'DP və TP'!$Z:$Z,"İcra müddətinə var",'DP və TP'!$AD:$AD,"&lt;=2")</f>
        <v>0</v>
      </c>
      <c r="M17" s="33">
        <f>COUNTIFS('DP və TP'!$B:$B,B17,
'DP və TP'!$K:$K,"Tapşırıqların İcrasına Nəzarət platforması üzrə",
'DP və TP'!$Z:$Z,"Gecikmə",'DP və TP'!$AD:$AD,"&lt;=2")</f>
        <v>0</v>
      </c>
      <c r="N17" s="33">
        <f>COUNTIFS('DP və TP'!$B:$B,B17,
'DP və TP'!$K:$K,"Tapşırıqların İcrasına Nəzarət platforması üzrə",
'DP və TP'!$Z:$Z,"İcra olunmayıb",'DP və TP'!$AD:$AD,"&lt;=2")</f>
        <v>0</v>
      </c>
      <c r="O17" s="34">
        <f>COUNTIFS('DP və TP'!$B:$B,B17,
'DP və TP'!$K:$K,"Tapşırıqların İcrasına Nəzarət platforması üzrə",
'DP və TP'!$Z:$Z,"İcra olunmayıb, prioritet deyil",'DP və TP'!$AD:$AD,"&lt;=2")</f>
        <v>0</v>
      </c>
      <c r="P17" s="40">
        <f t="shared" si="0"/>
        <v>0</v>
      </c>
    </row>
    <row r="18" spans="1:16" ht="49.5" customHeight="1" x14ac:dyDescent="0.3">
      <c r="A18" s="22">
        <v>8</v>
      </c>
      <c r="B18" s="23" t="s">
        <v>341</v>
      </c>
      <c r="C18" s="77">
        <f>COUNTIFS('DP və TP'!$B:$B,B18,'DP və TP'!$AD:$AD,"&lt;=2")</f>
        <v>1</v>
      </c>
      <c r="D18" s="81">
        <f>COUNTIFS('DP və TP'!$B:$B,B18,'DP və TP'!$Z:$Z,"Tam icra",'DP və TP'!$AD:$AD,"&lt;=2")</f>
        <v>0</v>
      </c>
      <c r="E18" s="32">
        <f>COUNTIFS('DP və TP'!$B:$B,B18,
'DP və TP'!$Z:$Z,"Qismən icra",'DP və TP'!$AD:$AD,"&lt;=2")</f>
        <v>0</v>
      </c>
      <c r="F18" s="32">
        <f>COUNTIFS('DP və TP'!$B:$B,B18,
'DP və TP'!$Z:$Z,"İcra müddətinə var",'DP və TP'!$AD:$AD,"&lt;=2")</f>
        <v>0</v>
      </c>
      <c r="G18" s="32">
        <f>COUNTIFS('DP və TP'!$B:$B,B18,
'DP və TP'!$Z:$Z,"Gecikmə",'DP və TP'!$AD:$AD,"&lt;=2")</f>
        <v>0</v>
      </c>
      <c r="H18" s="32">
        <f>COUNTIFS('DP və TP'!$B:$B,B18,
'DP və TP'!$Z:$Z,"İcra olunmayıb",'DP və TP'!$AD:$AD,"&lt;=2")</f>
        <v>0</v>
      </c>
      <c r="I18" s="32">
        <f>COUNTIFS('DP və TP'!$B:$B,B18,
'DP və TP'!$Z:$Z,"İcra olunmayıb, prioritet deyil",'DP və TP'!$AD:$AD,"&lt;=2")</f>
        <v>0</v>
      </c>
      <c r="J18" s="33">
        <f>COUNTIFS('DP və TP'!$B:$B,B18,
'DP və TP'!$K:$K,"Tapşırıqların İcrasına Nəzarət platforması üzrə",
'DP və TP'!$Z:$Z,"Tam icra",'DP və TP'!$AD:$AD,"&lt;=2")</f>
        <v>0</v>
      </c>
      <c r="K18" s="33">
        <f>COUNTIFS('DP və TP'!$B:$B,B18,
'DP və TP'!$K:$K,"Tapşırıqların İcrasına Nəzarət platforması üzrə",
'DP və TP'!$Z:$Z,"Qismən icra",'DP və TP'!$AD:$AD,"&lt;=2")</f>
        <v>0</v>
      </c>
      <c r="L18" s="33">
        <f>COUNTIFS('DP və TP'!$B:$B,B18,
'DP və TP'!$K:$K,"Tapşırıqların İcrasına Nəzarət platforması üzrə",
'DP və TP'!$Z:$Z,"İcra müddətinə var",'DP və TP'!$AD:$AD,"&lt;=2")</f>
        <v>0</v>
      </c>
      <c r="M18" s="33">
        <f>COUNTIFS('DP və TP'!$B:$B,B18,
'DP və TP'!$K:$K,"Tapşırıqların İcrasına Nəzarət platforması üzrə",
'DP və TP'!$Z:$Z,"Gecikmə",'DP və TP'!$AD:$AD,"&lt;=2")</f>
        <v>0</v>
      </c>
      <c r="N18" s="33">
        <f>COUNTIFS('DP və TP'!$B:$B,B18,
'DP və TP'!$K:$K,"Tapşırıqların İcrasına Nəzarət platforması üzrə",
'DP və TP'!$Z:$Z,"İcra olunmayıb",'DP və TP'!$AD:$AD,"&lt;=2")</f>
        <v>0</v>
      </c>
      <c r="O18" s="34">
        <f>COUNTIFS('DP və TP'!$B:$B,B18,
'DP və TP'!$K:$K,"Tapşırıqların İcrasına Nəzarət platforması üzrə",
'DP və TP'!$Z:$Z,"İcra olunmayıb, prioritet deyil",'DP və TP'!$AD:$AD,"&lt;=2")</f>
        <v>0</v>
      </c>
      <c r="P18" s="40">
        <f t="shared" si="0"/>
        <v>0</v>
      </c>
    </row>
    <row r="19" spans="1:16" ht="36" customHeight="1" x14ac:dyDescent="0.3">
      <c r="A19" s="22">
        <v>9</v>
      </c>
      <c r="B19" s="23" t="s">
        <v>426</v>
      </c>
      <c r="C19" s="77">
        <f>COUNTIFS('DP və TP'!$B:$B,B19,'DP və TP'!$AD:$AD,"&lt;=2")</f>
        <v>3</v>
      </c>
      <c r="D19" s="81">
        <f>COUNTIFS('DP və TP'!$B:$B,B19,'DP və TP'!$Z:$Z,"Tam icra",'DP və TP'!$AD:$AD,"&lt;=2")</f>
        <v>0</v>
      </c>
      <c r="E19" s="32">
        <f>COUNTIFS('DP və TP'!$B:$B,B19,
'DP və TP'!$Z:$Z,"Qismən icra",'DP və TP'!$AD:$AD,"&lt;=2")</f>
        <v>0</v>
      </c>
      <c r="F19" s="32">
        <f>COUNTIFS('DP və TP'!$B:$B,B19,
'DP və TP'!$Z:$Z,"İcra müddətinə var",'DP və TP'!$AD:$AD,"&lt;=2")</f>
        <v>0</v>
      </c>
      <c r="G19" s="32">
        <f>COUNTIFS('DP və TP'!$B:$B,B19,
'DP və TP'!$Z:$Z,"Gecikmə",'DP və TP'!$AD:$AD,"&lt;=2")</f>
        <v>0</v>
      </c>
      <c r="H19" s="32">
        <f>COUNTIFS('DP və TP'!$B:$B,B19,
'DP və TP'!$Z:$Z,"İcra olunmayıb",'DP və TP'!$AD:$AD,"&lt;=2")</f>
        <v>0</v>
      </c>
      <c r="I19" s="32">
        <f>COUNTIFS('DP və TP'!$B:$B,B19,
'DP və TP'!$Z:$Z,"İcra olunmayıb, prioritet deyil",'DP və TP'!$AD:$AD,"&lt;=2")</f>
        <v>0</v>
      </c>
      <c r="J19" s="33">
        <f>COUNTIFS('DP və TP'!$B:$B,B19,
'DP və TP'!$K:$K,"Tapşırıqların İcrasına Nəzarət platforması üzrə",
'DP və TP'!$Z:$Z,"Tam icra",'DP və TP'!$AD:$AD,"&lt;=2")</f>
        <v>0</v>
      </c>
      <c r="K19" s="33">
        <f>COUNTIFS('DP və TP'!$B:$B,B19,
'DP və TP'!$K:$K,"Tapşırıqların İcrasına Nəzarət platforması üzrə",
'DP və TP'!$Z:$Z,"Qismən icra",'DP və TP'!$AD:$AD,"&lt;=2")</f>
        <v>0</v>
      </c>
      <c r="L19" s="33">
        <f>COUNTIFS('DP və TP'!$B:$B,B19,
'DP və TP'!$K:$K,"Tapşırıqların İcrasına Nəzarət platforması üzrə",
'DP və TP'!$Z:$Z,"İcra müddətinə var",'DP və TP'!$AD:$AD,"&lt;=2")</f>
        <v>0</v>
      </c>
      <c r="M19" s="33">
        <f>COUNTIFS('DP və TP'!$B:$B,B19,
'DP və TP'!$K:$K,"Tapşırıqların İcrasına Nəzarət platforması üzrə",
'DP və TP'!$Z:$Z,"Gecikmə",'DP və TP'!$AD:$AD,"&lt;=2")</f>
        <v>0</v>
      </c>
      <c r="N19" s="33">
        <f>COUNTIFS('DP və TP'!$B:$B,B19,
'DP və TP'!$K:$K,"Tapşırıqların İcrasına Nəzarət platforması üzrə",
'DP və TP'!$Z:$Z,"İcra olunmayıb",'DP və TP'!$AD:$AD,"&lt;=2")</f>
        <v>0</v>
      </c>
      <c r="O19" s="34">
        <f>COUNTIFS('DP və TP'!$B:$B,B19,
'DP və TP'!$K:$K,"Tapşırıqların İcrasına Nəzarət platforması üzrə",
'DP və TP'!$Z:$Z,"İcra olunmayıb, prioritet deyil",'DP və TP'!$AD:$AD,"&lt;=2")</f>
        <v>0</v>
      </c>
      <c r="P19" s="43">
        <f t="shared" si="0"/>
        <v>0</v>
      </c>
    </row>
    <row r="20" spans="1:16" ht="34.5" customHeight="1" x14ac:dyDescent="0.3">
      <c r="A20" s="22">
        <v>10</v>
      </c>
      <c r="B20" s="23" t="s">
        <v>398</v>
      </c>
      <c r="C20" s="77">
        <f>COUNTIFS('DP və TP'!$B:$B,B20,'DP və TP'!$AD:$AD,"&lt;=2")</f>
        <v>6</v>
      </c>
      <c r="D20" s="81">
        <f>COUNTIFS('DP və TP'!$B:$B,B20,'DP və TP'!$Z:$Z,"Tam icra",'DP və TP'!$AD:$AD,"&lt;=2")</f>
        <v>0</v>
      </c>
      <c r="E20" s="32">
        <f>COUNTIFS('DP və TP'!$B:$B,B20,
'DP və TP'!$Z:$Z,"Qismən icra",'DP və TP'!$AD:$AD,"&lt;=2")</f>
        <v>0</v>
      </c>
      <c r="F20" s="32">
        <f>COUNTIFS('DP və TP'!$B:$B,B20,
'DP və TP'!$Z:$Z,"İcra müddətinə var",'DP və TP'!$AD:$AD,"&lt;=2")</f>
        <v>0</v>
      </c>
      <c r="G20" s="32">
        <f>COUNTIFS('DP və TP'!$B:$B,B20,
'DP və TP'!$Z:$Z,"Gecikmə",'DP və TP'!$AD:$AD,"&lt;=2")</f>
        <v>0</v>
      </c>
      <c r="H20" s="32">
        <f>COUNTIFS('DP və TP'!$B:$B,B20,
'DP və TP'!$Z:$Z,"İcra olunmayıb",'DP və TP'!$AD:$AD,"&lt;=2")</f>
        <v>0</v>
      </c>
      <c r="I20" s="32">
        <f>COUNTIFS('DP və TP'!$B:$B,B20,
'DP və TP'!$Z:$Z,"İcra olunmayıb, prioritet deyil",'DP və TP'!$AD:$AD,"&lt;=2")</f>
        <v>0</v>
      </c>
      <c r="J20" s="33">
        <f>COUNTIFS('DP və TP'!$B:$B,B20,
'DP və TP'!$K:$K,"Tapşırıqların İcrasına Nəzarət platforması üzrə",
'DP və TP'!$Z:$Z,"Tam icra",'DP və TP'!$AD:$AD,"&lt;=2")</f>
        <v>0</v>
      </c>
      <c r="K20" s="33">
        <f>COUNTIFS('DP və TP'!$B:$B,B20,
'DP və TP'!$K:$K,"Tapşırıqların İcrasına Nəzarət platforması üzrə",
'DP və TP'!$Z:$Z,"Qismən icra",'DP və TP'!$AD:$AD,"&lt;=2")</f>
        <v>0</v>
      </c>
      <c r="L20" s="33">
        <f>COUNTIFS('DP və TP'!$B:$B,B20,
'DP və TP'!$K:$K,"Tapşırıqların İcrasına Nəzarət platforması üzrə",
'DP və TP'!$Z:$Z,"İcra müddətinə var",'DP və TP'!$AD:$AD,"&lt;=2")</f>
        <v>0</v>
      </c>
      <c r="M20" s="33">
        <f>COUNTIFS('DP və TP'!$B:$B,B20,
'DP və TP'!$K:$K,"Tapşırıqların İcrasına Nəzarət platforması üzrə",
'DP və TP'!$Z:$Z,"Gecikmə",'DP və TP'!$AD:$AD,"&lt;=2")</f>
        <v>0</v>
      </c>
      <c r="N20" s="33">
        <f>COUNTIFS('DP və TP'!$B:$B,B20,
'DP və TP'!$K:$K,"Tapşırıqların İcrasına Nəzarət platforması üzrə",
'DP və TP'!$Z:$Z,"İcra olunmayıb",'DP və TP'!$AD:$AD,"&lt;=2")</f>
        <v>0</v>
      </c>
      <c r="O20" s="34">
        <f>COUNTIFS('DP və TP'!$B:$B,B20,
'DP və TP'!$K:$K,"Tapşırıqların İcrasına Nəzarət platforması üzrə",
'DP və TP'!$Z:$Z,"İcra olunmayıb, prioritet deyil",'DP və TP'!$AD:$AD,"&lt;=2")</f>
        <v>0</v>
      </c>
      <c r="P20" s="30">
        <f t="shared" si="0"/>
        <v>0</v>
      </c>
    </row>
    <row r="21" spans="1:16" ht="39" customHeight="1" x14ac:dyDescent="0.3">
      <c r="A21" s="22">
        <v>11</v>
      </c>
      <c r="B21" s="23" t="s">
        <v>535</v>
      </c>
      <c r="C21" s="77">
        <f>COUNTIFS('DP və TP'!$B:$B,B21,'DP və TP'!$AD:$AD,"&lt;=2")</f>
        <v>3</v>
      </c>
      <c r="D21" s="81">
        <f>COUNTIFS('DP və TP'!$B:$B,B21,'DP və TP'!$Z:$Z,"Tam icra",'DP və TP'!$AD:$AD,"&lt;=2")</f>
        <v>0</v>
      </c>
      <c r="E21" s="32">
        <f>COUNTIFS('DP və TP'!$B:$B,B21,
'DP və TP'!$Z:$Z,"Qismən icra",'DP və TP'!$AD:$AD,"&lt;=2")</f>
        <v>0</v>
      </c>
      <c r="F21" s="32">
        <f>COUNTIFS('DP və TP'!$B:$B,B21,
'DP və TP'!$Z:$Z,"İcra müddətinə var",'DP və TP'!$AD:$AD,"&lt;=2")</f>
        <v>0</v>
      </c>
      <c r="G21" s="32">
        <f>COUNTIFS('DP və TP'!$B:$B,B21,
'DP və TP'!$Z:$Z,"Gecikmə",'DP və TP'!$AD:$AD,"&lt;=2")</f>
        <v>0</v>
      </c>
      <c r="H21" s="32">
        <f>COUNTIFS('DP və TP'!$B:$B,B21,
'DP və TP'!$Z:$Z,"İcra olunmayıb",'DP və TP'!$AD:$AD,"&lt;=2")</f>
        <v>0</v>
      </c>
      <c r="I21" s="32">
        <f>COUNTIFS('DP və TP'!$B:$B,B21,
'DP və TP'!$Z:$Z,"İcra olunmayıb, prioritet deyil",'DP və TP'!$AD:$AD,"&lt;=2")</f>
        <v>0</v>
      </c>
      <c r="J21" s="33">
        <f>COUNTIFS('DP və TP'!$B:$B,B21,
'DP və TP'!$K:$K,"Tapşırıqların İcrasına Nəzarət platforması üzrə",
'DP və TP'!$Z:$Z,"Tam icra",'DP və TP'!$AD:$AD,"&lt;=2")</f>
        <v>0</v>
      </c>
      <c r="K21" s="33">
        <f>COUNTIFS('DP və TP'!$B:$B,B21,
'DP və TP'!$K:$K,"Tapşırıqların İcrasına Nəzarət platforması üzrə",
'DP və TP'!$Z:$Z,"Qismən icra",'DP və TP'!$AD:$AD,"&lt;=2")</f>
        <v>0</v>
      </c>
      <c r="L21" s="33">
        <f>COUNTIFS('DP və TP'!$B:$B,B21,
'DP və TP'!$K:$K,"Tapşırıqların İcrasına Nəzarət platforması üzrə",
'DP və TP'!$Z:$Z,"İcra müddətinə var",'DP və TP'!$AD:$AD,"&lt;=2")</f>
        <v>0</v>
      </c>
      <c r="M21" s="33">
        <f>COUNTIFS('DP və TP'!$B:$B,B21,
'DP və TP'!$K:$K,"Tapşırıqların İcrasına Nəzarət platforması üzrə",
'DP və TP'!$Z:$Z,"Gecikmə",'DP və TP'!$AD:$AD,"&lt;=2")</f>
        <v>0</v>
      </c>
      <c r="N21" s="33">
        <f>COUNTIFS('DP və TP'!$B:$B,B21,
'DP və TP'!$K:$K,"Tapşırıqların İcrasına Nəzarət platforması üzrə",
'DP və TP'!$Z:$Z,"İcra olunmayıb",'DP və TP'!$AD:$AD,"&lt;=2")</f>
        <v>0</v>
      </c>
      <c r="O21" s="34">
        <f>COUNTIFS('DP və TP'!$B:$B,B21,
'DP və TP'!$K:$K,"Tapşırıqların İcrasına Nəzarət platforması üzrə",
'DP və TP'!$Z:$Z,"İcra olunmayıb, prioritet deyil",'DP və TP'!$AD:$AD,"&lt;=2")</f>
        <v>0</v>
      </c>
      <c r="P21" s="30"/>
    </row>
    <row r="22" spans="1:16" ht="39" customHeight="1" x14ac:dyDescent="0.3">
      <c r="A22" s="22">
        <v>12</v>
      </c>
      <c r="B22" s="23" t="s">
        <v>516</v>
      </c>
      <c r="C22" s="77">
        <f>COUNTIFS('DP və TP'!$B:$B,B22,'DP və TP'!$AD:$AD,"&lt;=2")</f>
        <v>4</v>
      </c>
      <c r="D22" s="81">
        <f>COUNTIFS('DP və TP'!$B:$B,B22,'DP və TP'!$Z:$Z,"Tam icra",'DP və TP'!$AD:$AD,"&lt;=2")</f>
        <v>0</v>
      </c>
      <c r="E22" s="32">
        <f>COUNTIFS('DP və TP'!$B:$B,B22,
'DP və TP'!$Z:$Z,"Qismən icra",'DP və TP'!$AD:$AD,"&lt;=2")</f>
        <v>0</v>
      </c>
      <c r="F22" s="32">
        <f>COUNTIFS('DP və TP'!$B:$B,B22,
'DP və TP'!$Z:$Z,"İcra müddətinə var",'DP və TP'!$AD:$AD,"&lt;=2")</f>
        <v>0</v>
      </c>
      <c r="G22" s="32">
        <f>COUNTIFS('DP və TP'!$B:$B,B22,
'DP və TP'!$Z:$Z,"Gecikmə",'DP və TP'!$AD:$AD,"&lt;=2")</f>
        <v>0</v>
      </c>
      <c r="H22" s="32">
        <f>COUNTIFS('DP və TP'!$B:$B,B22,
'DP və TP'!$Z:$Z,"İcra olunmayıb",'DP və TP'!$AD:$AD,"&lt;=2")</f>
        <v>0</v>
      </c>
      <c r="I22" s="32">
        <f>COUNTIFS('DP və TP'!$B:$B,B22,
'DP və TP'!$Z:$Z,"İcra olunmayıb, prioritet deyil",'DP və TP'!$AD:$AD,"&lt;=2")</f>
        <v>0</v>
      </c>
      <c r="J22" s="33">
        <f>COUNTIFS('DP və TP'!$B:$B,B22,
'DP və TP'!$K:$K,"Tapşırıqların İcrasına Nəzarət platforması üzrə",
'DP və TP'!$Z:$Z,"Tam icra",'DP və TP'!$AD:$AD,"&lt;=2")</f>
        <v>0</v>
      </c>
      <c r="K22" s="33">
        <f>COUNTIFS('DP və TP'!$B:$B,B22,
'DP və TP'!$K:$K,"Tapşırıqların İcrasına Nəzarət platforması üzrə",
'DP və TP'!$Z:$Z,"Qismən icra",'DP və TP'!$AD:$AD,"&lt;=2")</f>
        <v>0</v>
      </c>
      <c r="L22" s="33">
        <f>COUNTIFS('DP və TP'!$B:$B,B22,
'DP və TP'!$K:$K,"Tapşırıqların İcrasına Nəzarət platforması üzrə",
'DP və TP'!$Z:$Z,"İcra müddətinə var",'DP və TP'!$AD:$AD,"&lt;=2")</f>
        <v>0</v>
      </c>
      <c r="M22" s="33">
        <f>COUNTIFS('DP və TP'!$B:$B,B22,
'DP və TP'!$K:$K,"Tapşırıqların İcrasına Nəzarət platforması üzrə",
'DP və TP'!$Z:$Z,"Gecikmə",'DP və TP'!$AD:$AD,"&lt;=2")</f>
        <v>0</v>
      </c>
      <c r="N22" s="33">
        <f>COUNTIFS('DP və TP'!$B:$B,B22,
'DP və TP'!$K:$K,"Tapşırıqların İcrasına Nəzarət platforması üzrə",
'DP və TP'!$Z:$Z,"İcra olunmayıb",'DP və TP'!$AD:$AD,"&lt;=2")</f>
        <v>0</v>
      </c>
      <c r="O22" s="34">
        <f>COUNTIFS('DP və TP'!$B:$B,B22,
'DP və TP'!$K:$K,"Tapşırıqların İcrasına Nəzarət platforması üzrə",
'DP və TP'!$Z:$Z,"İcra olunmayıb, prioritet deyil",'DP və TP'!$AD:$AD,"&lt;=2")</f>
        <v>0</v>
      </c>
      <c r="P22" s="30"/>
    </row>
    <row r="23" spans="1:16" ht="22.5" customHeight="1" x14ac:dyDescent="0.3">
      <c r="A23" s="22">
        <v>13</v>
      </c>
      <c r="B23" s="23" t="s">
        <v>429</v>
      </c>
      <c r="C23" s="77">
        <f>COUNTIFS('DP və TP'!$B:$B,B23,'DP və TP'!$AD:$AD,"&lt;=2")</f>
        <v>3</v>
      </c>
      <c r="D23" s="81">
        <f>COUNTIFS('DP və TP'!$B:$B,B23,'DP və TP'!$Z:$Z,"Tam icra",'DP və TP'!$AD:$AD,"&lt;=2")</f>
        <v>0</v>
      </c>
      <c r="E23" s="32">
        <f>COUNTIFS('DP və TP'!$B:$B,B23,
'DP və TP'!$Z:$Z,"Qismən icra",'DP və TP'!$AD:$AD,"&lt;=2")</f>
        <v>0</v>
      </c>
      <c r="F23" s="32">
        <f>COUNTIFS('DP və TP'!$B:$B,B23,
'DP və TP'!$Z:$Z,"İcra müddətinə var",'DP və TP'!$AD:$AD,"&lt;=2")</f>
        <v>0</v>
      </c>
      <c r="G23" s="32">
        <f>COUNTIFS('DP və TP'!$B:$B,B23,
'DP və TP'!$Z:$Z,"Gecikmə",'DP və TP'!$AD:$AD,"&lt;=2")</f>
        <v>0</v>
      </c>
      <c r="H23" s="32">
        <f>COUNTIFS('DP və TP'!$B:$B,B23,
'DP və TP'!$Z:$Z,"İcra olunmayıb",'DP və TP'!$AD:$AD,"&lt;=2")</f>
        <v>0</v>
      </c>
      <c r="I23" s="32">
        <f>COUNTIFS('DP və TP'!$B:$B,B23,
'DP və TP'!$Z:$Z,"İcra olunmayıb, prioritet deyil",'DP və TP'!$AD:$AD,"&lt;=2")</f>
        <v>0</v>
      </c>
      <c r="J23" s="33">
        <f>COUNTIFS('DP və TP'!$B:$B,B23,
'DP və TP'!$K:$K,"Tapşırıqların İcrasına Nəzarət platforması üzrə",
'DP və TP'!$Z:$Z,"Tam icra",'DP və TP'!$AD:$AD,"&lt;=2")</f>
        <v>0</v>
      </c>
      <c r="K23" s="33">
        <f>COUNTIFS('DP və TP'!$B:$B,B23,
'DP və TP'!$K:$K,"Tapşırıqların İcrasına Nəzarət platforması üzrə",
'DP və TP'!$Z:$Z,"Qismən icra",'DP və TP'!$AD:$AD,"&lt;=2")</f>
        <v>0</v>
      </c>
      <c r="L23" s="33">
        <f>COUNTIFS('DP və TP'!$B:$B,B23,
'DP və TP'!$K:$K,"Tapşırıqların İcrasına Nəzarət platforması üzrə",
'DP və TP'!$Z:$Z,"İcra müddətinə var",'DP və TP'!$AD:$AD,"&lt;=2")</f>
        <v>0</v>
      </c>
      <c r="M23" s="33">
        <f>COUNTIFS('DP və TP'!$B:$B,B23,
'DP və TP'!$K:$K,"Tapşırıqların İcrasına Nəzarət platforması üzrə",
'DP və TP'!$Z:$Z,"Gecikmə",'DP və TP'!$AD:$AD,"&lt;=2")</f>
        <v>0</v>
      </c>
      <c r="N23" s="33">
        <f>COUNTIFS('DP və TP'!$B:$B,B23,
'DP və TP'!$K:$K,"Tapşırıqların İcrasına Nəzarət platforması üzrə",
'DP və TP'!$Z:$Z,"İcra olunmayıb",'DP və TP'!$AD:$AD,"&lt;=2")</f>
        <v>0</v>
      </c>
      <c r="O23" s="34">
        <f>COUNTIFS('DP və TP'!$B:$B,B23,
'DP və TP'!$K:$K,"Tapşırıqların İcrasına Nəzarət platforması üzrə",
'DP və TP'!$Z:$Z,"İcra olunmayıb, prioritet deyil",'DP və TP'!$AD:$AD,"&lt;=2")</f>
        <v>0</v>
      </c>
      <c r="P23" s="30">
        <f t="shared" ref="P23:P33" si="1">SUM(J23:O23)</f>
        <v>0</v>
      </c>
    </row>
    <row r="24" spans="1:16" ht="38.25" customHeight="1" x14ac:dyDescent="0.3">
      <c r="A24" s="22">
        <v>14</v>
      </c>
      <c r="B24" s="23" t="s">
        <v>161</v>
      </c>
      <c r="C24" s="77">
        <f>COUNTIFS('DP və TP'!$B:$B,B24,'DP və TP'!$AD:$AD,"&lt;=2")</f>
        <v>16</v>
      </c>
      <c r="D24" s="81">
        <f>COUNTIFS('DP və TP'!$B:$B,B24,'DP və TP'!$Z:$Z,"Tam icra",'DP və TP'!$AD:$AD,"&lt;=2")</f>
        <v>0</v>
      </c>
      <c r="E24" s="32">
        <f>COUNTIFS('DP və TP'!$B:$B,B24,
'DP və TP'!$Z:$Z,"Qismən icra",'DP və TP'!$AD:$AD,"&lt;=2")</f>
        <v>0</v>
      </c>
      <c r="F24" s="32">
        <f>COUNTIFS('DP və TP'!$B:$B,B24,
'DP və TP'!$Z:$Z,"İcra müddətinə var",'DP və TP'!$AD:$AD,"&lt;=2")</f>
        <v>0</v>
      </c>
      <c r="G24" s="32">
        <f>COUNTIFS('DP və TP'!$B:$B,B24,
'DP və TP'!$Z:$Z,"Gecikmə",'DP və TP'!$AD:$AD,"&lt;=2")</f>
        <v>0</v>
      </c>
      <c r="H24" s="32">
        <f>COUNTIFS('DP və TP'!$B:$B,B24,
'DP və TP'!$Z:$Z,"İcra olunmayıb",'DP və TP'!$AD:$AD,"&lt;=2")</f>
        <v>0</v>
      </c>
      <c r="I24" s="32">
        <f>COUNTIFS('DP və TP'!$B:$B,B24,
'DP və TP'!$Z:$Z,"İcra olunmayıb, prioritet deyil",'DP və TP'!$AD:$AD,"&lt;=2")</f>
        <v>0</v>
      </c>
      <c r="J24" s="33">
        <f>COUNTIFS('DP və TP'!$B:$B,B24,
'DP və TP'!$K:$K,"Tapşırıqların İcrasına Nəzarət platforması üzrə",
'DP və TP'!$Z:$Z,"Tam icra",'DP və TP'!$AD:$AD,"&lt;=2")</f>
        <v>0</v>
      </c>
      <c r="K24" s="33">
        <f>COUNTIFS('DP və TP'!$B:$B,B24,
'DP və TP'!$K:$K,"Tapşırıqların İcrasına Nəzarət platforması üzrə",
'DP və TP'!$Z:$Z,"Qismən icra",'DP və TP'!$AD:$AD,"&lt;=2")</f>
        <v>0</v>
      </c>
      <c r="L24" s="33">
        <f>COUNTIFS('DP və TP'!$B:$B,B24,
'DP və TP'!$K:$K,"Tapşırıqların İcrasına Nəzarət platforması üzrə",
'DP və TP'!$Z:$Z,"İcra müddətinə var",'DP və TP'!$AD:$AD,"&lt;=2")</f>
        <v>0</v>
      </c>
      <c r="M24" s="33">
        <f>COUNTIFS('DP və TP'!$B:$B,B24,
'DP və TP'!$K:$K,"Tapşırıqların İcrasına Nəzarət platforması üzrə",
'DP və TP'!$Z:$Z,"Gecikmə",'DP və TP'!$AD:$AD,"&lt;=2")</f>
        <v>0</v>
      </c>
      <c r="N24" s="33">
        <f>COUNTIFS('DP və TP'!$B:$B,B24,
'DP və TP'!$K:$K,"Tapşırıqların İcrasına Nəzarət platforması üzrə",
'DP və TP'!$Z:$Z,"İcra olunmayıb",'DP və TP'!$AD:$AD,"&lt;=2")</f>
        <v>0</v>
      </c>
      <c r="O24" s="34">
        <f>COUNTIFS('DP və TP'!$B:$B,B24,
'DP və TP'!$K:$K,"Tapşırıqların İcrasına Nəzarət platforması üzrə",
'DP və TP'!$Z:$Z,"İcra olunmayıb, prioritet deyil",'DP və TP'!$AD:$AD,"&lt;=2")</f>
        <v>0</v>
      </c>
      <c r="P24" s="43">
        <f t="shared" si="1"/>
        <v>0</v>
      </c>
    </row>
    <row r="25" spans="1:16" ht="36.75" customHeight="1" x14ac:dyDescent="0.3">
      <c r="A25" s="22">
        <v>15</v>
      </c>
      <c r="B25" s="23" t="s">
        <v>509</v>
      </c>
      <c r="C25" s="77">
        <f>COUNTIFS('DP və TP'!$B:$B,B25,'DP və TP'!$AD:$AD,"&lt;=2")</f>
        <v>2</v>
      </c>
      <c r="D25" s="81">
        <f>COUNTIFS('DP və TP'!$B:$B,B25,'DP və TP'!$Z:$Z,"Tam icra",'DP və TP'!$AD:$AD,"&lt;=2")</f>
        <v>0</v>
      </c>
      <c r="E25" s="32">
        <f>COUNTIFS('DP və TP'!$B:$B,B25,
'DP və TP'!$Z:$Z,"Qismən icra",'DP və TP'!$AD:$AD,"&lt;=2")</f>
        <v>0</v>
      </c>
      <c r="F25" s="32">
        <f>COUNTIFS('DP və TP'!$B:$B,B25,
'DP və TP'!$Z:$Z,"İcra müddətinə var",'DP və TP'!$AD:$AD,"&lt;=2")</f>
        <v>0</v>
      </c>
      <c r="G25" s="32">
        <f>COUNTIFS('DP və TP'!$B:$B,B25,
'DP və TP'!$Z:$Z,"Gecikmə",'DP və TP'!$AD:$AD,"&lt;=2")</f>
        <v>0</v>
      </c>
      <c r="H25" s="32">
        <f>COUNTIFS('DP və TP'!$B:$B,B25,
'DP və TP'!$Z:$Z,"İcra olunmayıb",'DP və TP'!$AD:$AD,"&lt;=2")</f>
        <v>0</v>
      </c>
      <c r="I25" s="32">
        <f>COUNTIFS('DP və TP'!$B:$B,B25,
'DP və TP'!$Z:$Z,"İcra olunmayıb, prioritet deyil",'DP və TP'!$AD:$AD,"&lt;=2")</f>
        <v>0</v>
      </c>
      <c r="J25" s="33">
        <f>COUNTIFS('DP və TP'!$B:$B,B25,
'DP və TP'!$K:$K,"Tapşırıqların İcrasına Nəzarət platforması üzrə",
'DP və TP'!$Z:$Z,"Tam icra",'DP və TP'!$AD:$AD,"&lt;=2")</f>
        <v>0</v>
      </c>
      <c r="K25" s="33">
        <f>COUNTIFS('DP və TP'!$B:$B,B25,
'DP və TP'!$K:$K,"Tapşırıqların İcrasına Nəzarət platforması üzrə",
'DP və TP'!$Z:$Z,"Qismən icra",'DP və TP'!$AD:$AD,"&lt;=2")</f>
        <v>0</v>
      </c>
      <c r="L25" s="33">
        <f>COUNTIFS('DP və TP'!$B:$B,B25,
'DP və TP'!$K:$K,"Tapşırıqların İcrasına Nəzarət platforması üzrə",
'DP və TP'!$Z:$Z,"İcra müddətinə var",'DP və TP'!$AD:$AD,"&lt;=2")</f>
        <v>0</v>
      </c>
      <c r="M25" s="33">
        <f>COUNTIFS('DP və TP'!$B:$B,B25,
'DP və TP'!$K:$K,"Tapşırıqların İcrasına Nəzarət platforması üzrə",
'DP və TP'!$Z:$Z,"Gecikmə",'DP və TP'!$AD:$AD,"&lt;=2")</f>
        <v>0</v>
      </c>
      <c r="N25" s="33">
        <f>COUNTIFS('DP və TP'!$B:$B,B25,
'DP və TP'!$K:$K,"Tapşırıqların İcrasına Nəzarət platforması üzrə",
'DP və TP'!$Z:$Z,"İcra olunmayıb",'DP və TP'!$AD:$AD,"&lt;=2")</f>
        <v>0</v>
      </c>
      <c r="O25" s="34">
        <f>COUNTIFS('DP və TP'!$B:$B,B25,
'DP və TP'!$K:$K,"Tapşırıqların İcrasına Nəzarət platforması üzrə",
'DP və TP'!$Z:$Z,"İcra olunmayıb, prioritet deyil",'DP və TP'!$AD:$AD,"&lt;=2")</f>
        <v>0</v>
      </c>
      <c r="P25" s="40">
        <f t="shared" si="1"/>
        <v>0</v>
      </c>
    </row>
    <row r="26" spans="1:16" ht="35.25" customHeight="1" x14ac:dyDescent="0.3">
      <c r="A26" s="22">
        <v>16</v>
      </c>
      <c r="B26" s="23" t="s">
        <v>236</v>
      </c>
      <c r="C26" s="77">
        <f>COUNTIFS('DP və TP'!$B:$B,B26,'DP və TP'!$AD:$AD,"&lt;=2")</f>
        <v>8</v>
      </c>
      <c r="D26" s="81">
        <f>COUNTIFS('DP və TP'!$B:$B,B26,'DP və TP'!$Z:$Z,"Tam icra",'DP və TP'!$AD:$AD,"&lt;=2")</f>
        <v>0</v>
      </c>
      <c r="E26" s="32">
        <f>COUNTIFS('DP və TP'!$B:$B,B26,
'DP və TP'!$Z:$Z,"Qismən icra",'DP və TP'!$AD:$AD,"&lt;=2")</f>
        <v>0</v>
      </c>
      <c r="F26" s="32">
        <f>COUNTIFS('DP və TP'!$B:$B,B26,
'DP və TP'!$Z:$Z,"İcra müddətinə var",'DP və TP'!$AD:$AD,"&lt;=2")</f>
        <v>0</v>
      </c>
      <c r="G26" s="32">
        <f>COUNTIFS('DP və TP'!$B:$B,B26,
'DP və TP'!$Z:$Z,"Gecikmə",'DP və TP'!$AD:$AD,"&lt;=2")</f>
        <v>0</v>
      </c>
      <c r="H26" s="32">
        <f>COUNTIFS('DP və TP'!$B:$B,B26,
'DP və TP'!$Z:$Z,"İcra olunmayıb",'DP və TP'!$AD:$AD,"&lt;=2")</f>
        <v>0</v>
      </c>
      <c r="I26" s="32">
        <f>COUNTIFS('DP və TP'!$B:$B,B26,
'DP və TP'!$Z:$Z,"İcra olunmayıb, prioritet deyil",'DP və TP'!$AD:$AD,"&lt;=2")</f>
        <v>0</v>
      </c>
      <c r="J26" s="33">
        <f>COUNTIFS('DP və TP'!$B:$B,B26,
'DP və TP'!$K:$K,"Tapşırıqların İcrasına Nəzarət platforması üzrə",
'DP və TP'!$Z:$Z,"Tam icra",'DP və TP'!$AD:$AD,"&lt;=2")</f>
        <v>0</v>
      </c>
      <c r="K26" s="33">
        <f>COUNTIFS('DP və TP'!$B:$B,B26,
'DP və TP'!$K:$K,"Tapşırıqların İcrasına Nəzarət platforması üzrə",
'DP və TP'!$Z:$Z,"Qismən icra",'DP və TP'!$AD:$AD,"&lt;=2")</f>
        <v>0</v>
      </c>
      <c r="L26" s="33">
        <f>COUNTIFS('DP və TP'!$B:$B,B26,
'DP və TP'!$K:$K,"Tapşırıqların İcrasına Nəzarət platforması üzrə",
'DP və TP'!$Z:$Z,"İcra müddətinə var",'DP və TP'!$AD:$AD,"&lt;=2")</f>
        <v>0</v>
      </c>
      <c r="M26" s="33">
        <f>COUNTIFS('DP və TP'!$B:$B,B26,
'DP və TP'!$K:$K,"Tapşırıqların İcrasına Nəzarət platforması üzrə",
'DP və TP'!$Z:$Z,"Gecikmə",'DP və TP'!$AD:$AD,"&lt;=2")</f>
        <v>0</v>
      </c>
      <c r="N26" s="33">
        <f>COUNTIFS('DP və TP'!$B:$B,B26,
'DP və TP'!$K:$K,"Tapşırıqların İcrasına Nəzarət platforması üzrə",
'DP və TP'!$Z:$Z,"İcra olunmayıb",'DP və TP'!$AD:$AD,"&lt;=2")</f>
        <v>0</v>
      </c>
      <c r="O26" s="34">
        <f>COUNTIFS('DP və TP'!$B:$B,B26,
'DP və TP'!$K:$K,"Tapşırıqların İcrasına Nəzarət platforması üzrə",
'DP və TP'!$Z:$Z,"İcra olunmayıb, prioritet deyil",'DP və TP'!$AD:$AD,"&lt;=2")</f>
        <v>0</v>
      </c>
      <c r="P26" s="30">
        <f t="shared" si="1"/>
        <v>0</v>
      </c>
    </row>
    <row r="27" spans="1:16" ht="35.25" customHeight="1" x14ac:dyDescent="0.3">
      <c r="A27" s="22">
        <v>17</v>
      </c>
      <c r="B27" s="23" t="s">
        <v>346</v>
      </c>
      <c r="C27" s="77">
        <f>COUNTIFS('DP və TP'!$B:$B,B27,'DP və TP'!$AD:$AD,"&lt;=2")</f>
        <v>12</v>
      </c>
      <c r="D27" s="81">
        <f>COUNTIFS('DP və TP'!$B:$B,B27,'DP və TP'!$Z:$Z,"Tam icra",'DP və TP'!$AD:$AD,"&lt;=2")</f>
        <v>0</v>
      </c>
      <c r="E27" s="32">
        <f>COUNTIFS('DP və TP'!$B:$B,B27,
'DP və TP'!$Z:$Z,"Qismən icra",'DP və TP'!$AD:$AD,"&lt;=2")</f>
        <v>0</v>
      </c>
      <c r="F27" s="32">
        <f>COUNTIFS('DP və TP'!$B:$B,B27,
'DP və TP'!$Z:$Z,"İcra müddətinə var",'DP və TP'!$AD:$AD,"&lt;=2")</f>
        <v>0</v>
      </c>
      <c r="G27" s="32">
        <f>COUNTIFS('DP və TP'!$B:$B,B27,
'DP və TP'!$Z:$Z,"Gecikmə",'DP və TP'!$AD:$AD,"&lt;=2")</f>
        <v>0</v>
      </c>
      <c r="H27" s="32">
        <f>COUNTIFS('DP və TP'!$B:$B,B27,
'DP və TP'!$Z:$Z,"İcra olunmayıb",'DP və TP'!$AD:$AD,"&lt;=2")</f>
        <v>0</v>
      </c>
      <c r="I27" s="32">
        <f>COUNTIFS('DP və TP'!$B:$B,B27,
'DP və TP'!$Z:$Z,"İcra olunmayıb, prioritet deyil",'DP və TP'!$AD:$AD,"&lt;=2")</f>
        <v>0</v>
      </c>
      <c r="J27" s="33">
        <f>COUNTIFS('DP və TP'!$B:$B,B27,
'DP və TP'!$K:$K,"Tapşırıqların İcrasına Nəzarət platforması üzrə",
'DP və TP'!$Z:$Z,"Tam icra",'DP və TP'!$AD:$AD,"&lt;=2")</f>
        <v>0</v>
      </c>
      <c r="K27" s="33">
        <f>COUNTIFS('DP və TP'!$B:$B,B27,
'DP və TP'!$K:$K,"Tapşırıqların İcrasına Nəzarət platforması üzrə",
'DP və TP'!$Z:$Z,"Qismən icra",'DP və TP'!$AD:$AD,"&lt;=2")</f>
        <v>0</v>
      </c>
      <c r="L27" s="33">
        <f>COUNTIFS('DP və TP'!$B:$B,B27,
'DP və TP'!$K:$K,"Tapşırıqların İcrasına Nəzarət platforması üzrə",
'DP və TP'!$Z:$Z,"İcra müddətinə var",'DP və TP'!$AD:$AD,"&lt;=2")</f>
        <v>0</v>
      </c>
      <c r="M27" s="33">
        <f>COUNTIFS('DP və TP'!$B:$B,B27,
'DP və TP'!$K:$K,"Tapşırıqların İcrasına Nəzarət platforması üzrə",
'DP və TP'!$Z:$Z,"Gecikmə",'DP və TP'!$AD:$AD,"&lt;=2")</f>
        <v>0</v>
      </c>
      <c r="N27" s="33">
        <f>COUNTIFS('DP və TP'!$B:$B,B27,
'DP və TP'!$K:$K,"Tapşırıqların İcrasına Nəzarət platforması üzrə",
'DP və TP'!$Z:$Z,"İcra olunmayıb",'DP və TP'!$AD:$AD,"&lt;=2")</f>
        <v>0</v>
      </c>
      <c r="O27" s="34">
        <f>COUNTIFS('DP və TP'!$B:$B,B27,
'DP və TP'!$K:$K,"Tapşırıqların İcrasına Nəzarət platforması üzrə",
'DP və TP'!$Z:$Z,"İcra olunmayıb, prioritet deyil",'DP və TP'!$AD:$AD,"&lt;=2")</f>
        <v>0</v>
      </c>
      <c r="P27" s="40">
        <f t="shared" si="1"/>
        <v>0</v>
      </c>
    </row>
    <row r="28" spans="1:16" ht="46.5" customHeight="1" x14ac:dyDescent="0.3">
      <c r="A28" s="22">
        <v>18</v>
      </c>
      <c r="B28" s="23" t="s">
        <v>30</v>
      </c>
      <c r="C28" s="77">
        <f>COUNTIFS('DP və TP'!$B:$B,B28,'DP və TP'!$AD:$AD,"&lt;=2")</f>
        <v>23</v>
      </c>
      <c r="D28" s="81">
        <f>COUNTIFS('DP və TP'!$B:$B,B28,'DP və TP'!$Z:$Z,"Tam icra",'DP və TP'!$AD:$AD,"&lt;=2")</f>
        <v>0</v>
      </c>
      <c r="E28" s="32">
        <f>COUNTIFS('DP və TP'!$B:$B,B28,
'DP və TP'!$Z:$Z,"Qismən icra",'DP və TP'!$AD:$AD,"&lt;=2")</f>
        <v>0</v>
      </c>
      <c r="F28" s="32">
        <f>COUNTIFS('DP və TP'!$B:$B,B28,
'DP və TP'!$Z:$Z,"İcra müddətinə var",'DP və TP'!$AD:$AD,"&lt;=2")</f>
        <v>0</v>
      </c>
      <c r="G28" s="32">
        <f>COUNTIFS('DP və TP'!$B:$B,B28,
'DP və TP'!$Z:$Z,"Gecikmə",'DP və TP'!$AD:$AD,"&lt;=2")</f>
        <v>0</v>
      </c>
      <c r="H28" s="32">
        <f>COUNTIFS('DP və TP'!$B:$B,B28,
'DP və TP'!$Z:$Z,"İcra olunmayıb",'DP və TP'!$AD:$AD,"&lt;=2")</f>
        <v>0</v>
      </c>
      <c r="I28" s="32">
        <f>COUNTIFS('DP və TP'!$B:$B,B28,
'DP və TP'!$Z:$Z,"İcra olunmayıb, prioritet deyil",'DP və TP'!$AD:$AD,"&lt;=2")</f>
        <v>0</v>
      </c>
      <c r="J28" s="33">
        <f>COUNTIFS('DP və TP'!$B:$B,B28,
'DP və TP'!$K:$K,"Tapşırıqların İcrasına Nəzarət platforması üzrə",
'DP və TP'!$Z:$Z,"Tam icra",'DP və TP'!$AD:$AD,"&lt;=2")</f>
        <v>0</v>
      </c>
      <c r="K28" s="33">
        <f>COUNTIFS('DP və TP'!$B:$B,B28,
'DP və TP'!$K:$K,"Tapşırıqların İcrasına Nəzarət platforması üzrə",
'DP və TP'!$Z:$Z,"Qismən icra",'DP və TP'!$AD:$AD,"&lt;=2")</f>
        <v>0</v>
      </c>
      <c r="L28" s="33">
        <f>COUNTIFS('DP və TP'!$B:$B,B28,
'DP və TP'!$K:$K,"Tapşırıqların İcrasına Nəzarət platforması üzrə",
'DP və TP'!$Z:$Z,"İcra müddətinə var",'DP və TP'!$AD:$AD,"&lt;=2")</f>
        <v>0</v>
      </c>
      <c r="M28" s="33">
        <f>COUNTIFS('DP və TP'!$B:$B,B28,
'DP və TP'!$K:$K,"Tapşırıqların İcrasına Nəzarət platforması üzrə",
'DP və TP'!$Z:$Z,"Gecikmə",'DP və TP'!$AD:$AD,"&lt;=2")</f>
        <v>0</v>
      </c>
      <c r="N28" s="33">
        <f>COUNTIFS('DP və TP'!$B:$B,B28,
'DP və TP'!$K:$K,"Tapşırıqların İcrasına Nəzarət platforması üzrə",
'DP və TP'!$Z:$Z,"İcra olunmayıb",'DP və TP'!$AD:$AD,"&lt;=2")</f>
        <v>0</v>
      </c>
      <c r="O28" s="34">
        <f>COUNTIFS('DP və TP'!$B:$B,B28,
'DP və TP'!$K:$K,"Tapşırıqların İcrasına Nəzarət platforması üzrə",
'DP və TP'!$Z:$Z,"İcra olunmayıb, prioritet deyil",'DP və TP'!$AD:$AD,"&lt;=2")</f>
        <v>0</v>
      </c>
      <c r="P28" s="40">
        <f t="shared" si="1"/>
        <v>0</v>
      </c>
    </row>
    <row r="29" spans="1:16" ht="21" customHeight="1" x14ac:dyDescent="0.3">
      <c r="A29" s="22">
        <v>19</v>
      </c>
      <c r="B29" s="74" t="s">
        <v>456</v>
      </c>
      <c r="C29" s="77">
        <f>COUNTIFS('DP və TP'!$B:$B,B29,'DP və TP'!$AD:$AD,"&lt;=2")</f>
        <v>12</v>
      </c>
      <c r="D29" s="81">
        <f>COUNTIFS('DP və TP'!$B:$B,B29,'DP və TP'!$Z:$Z,"Tam icra",'DP və TP'!$AD:$AD,"&lt;=2")</f>
        <v>0</v>
      </c>
      <c r="E29" s="32">
        <f>COUNTIFS('DP və TP'!$B:$B,B29,
'DP və TP'!$Z:$Z,"Qismən icra",'DP və TP'!$AD:$AD,"&lt;=2")</f>
        <v>0</v>
      </c>
      <c r="F29" s="32">
        <f>COUNTIFS('DP və TP'!$B:$B,B29,
'DP və TP'!$Z:$Z,"İcra müddətinə var",'DP və TP'!$AD:$AD,"&lt;=2")</f>
        <v>0</v>
      </c>
      <c r="G29" s="32">
        <f>COUNTIFS('DP və TP'!$B:$B,B29,
'DP və TP'!$Z:$Z,"Gecikmə",'DP və TP'!$AD:$AD,"&lt;=2")</f>
        <v>0</v>
      </c>
      <c r="H29" s="32">
        <f>COUNTIFS('DP və TP'!$B:$B,B29,
'DP və TP'!$Z:$Z,"İcra olunmayıb",'DP və TP'!$AD:$AD,"&lt;=2")</f>
        <v>0</v>
      </c>
      <c r="I29" s="32">
        <f>COUNTIFS('DP və TP'!$B:$B,B29,
'DP və TP'!$Z:$Z,"İcra olunmayıb, prioritet deyil",'DP və TP'!$AD:$AD,"&lt;=2")</f>
        <v>0</v>
      </c>
      <c r="J29" s="33">
        <f>COUNTIFS('DP və TP'!$B:$B,B29,
'DP və TP'!$K:$K,"Tapşırıqların İcrasına Nəzarət platforması üzrə",
'DP və TP'!$Z:$Z,"Tam icra",'DP və TP'!$AD:$AD,"&lt;=2")</f>
        <v>0</v>
      </c>
      <c r="K29" s="33">
        <f>COUNTIFS('DP və TP'!$B:$B,B29,
'DP və TP'!$K:$K,"Tapşırıqların İcrasına Nəzarət platforması üzrə",
'DP və TP'!$Z:$Z,"Qismən icra",'DP və TP'!$AD:$AD,"&lt;=2")</f>
        <v>0</v>
      </c>
      <c r="L29" s="33">
        <f>COUNTIFS('DP və TP'!$B:$B,B29,
'DP və TP'!$K:$K,"Tapşırıqların İcrasına Nəzarət platforması üzrə",
'DP və TP'!$Z:$Z,"İcra müddətinə var",'DP və TP'!$AD:$AD,"&lt;=2")</f>
        <v>0</v>
      </c>
      <c r="M29" s="33">
        <f>COUNTIFS('DP və TP'!$B:$B,B29,
'DP və TP'!$K:$K,"Tapşırıqların İcrasına Nəzarət platforması üzrə",
'DP və TP'!$Z:$Z,"Gecikmə",'DP və TP'!$AD:$AD,"&lt;=2")</f>
        <v>0</v>
      </c>
      <c r="N29" s="33">
        <f>COUNTIFS('DP və TP'!$B:$B,B29,
'DP və TP'!$K:$K,"Tapşırıqların İcrasına Nəzarət platforması üzrə",
'DP və TP'!$Z:$Z,"İcra olunmayıb",'DP və TP'!$AD:$AD,"&lt;=2")</f>
        <v>0</v>
      </c>
      <c r="O29" s="34">
        <f>COUNTIFS('DP və TP'!$B:$B,B29,
'DP və TP'!$K:$K,"Tapşırıqların İcrasına Nəzarət platforması üzrə",
'DP və TP'!$Z:$Z,"İcra olunmayıb, prioritet deyil",'DP və TP'!$AD:$AD,"&lt;=2")</f>
        <v>0</v>
      </c>
      <c r="P29" s="30">
        <f t="shared" si="1"/>
        <v>0</v>
      </c>
    </row>
    <row r="30" spans="1:16" ht="27" customHeight="1" x14ac:dyDescent="0.3">
      <c r="A30" s="22">
        <v>20</v>
      </c>
      <c r="B30" s="23" t="s">
        <v>139</v>
      </c>
      <c r="C30" s="77">
        <f>COUNTIFS('DP və TP'!$B:$B,B30,'DP və TP'!$AD:$AD,"&lt;=2")</f>
        <v>2</v>
      </c>
      <c r="D30" s="81">
        <f>COUNTIFS('DP və TP'!$B:$B,B30,'DP və TP'!$Z:$Z,"Tam icra",'DP və TP'!$AD:$AD,"&lt;=2")</f>
        <v>0</v>
      </c>
      <c r="E30" s="32">
        <f>COUNTIFS('DP və TP'!$B:$B,B30,
'DP və TP'!$Z:$Z,"Qismən icra",'DP və TP'!$AD:$AD,"&lt;=2")</f>
        <v>0</v>
      </c>
      <c r="F30" s="32">
        <f>COUNTIFS('DP və TP'!$B:$B,B30,
'DP və TP'!$Z:$Z,"İcra müddətinə var",'DP və TP'!$AD:$AD,"&lt;=2")</f>
        <v>0</v>
      </c>
      <c r="G30" s="32">
        <f>COUNTIFS('DP və TP'!$B:$B,B30,
'DP və TP'!$Z:$Z,"Gecikmə",'DP və TP'!$AD:$AD,"&lt;=2")</f>
        <v>0</v>
      </c>
      <c r="H30" s="32">
        <f>COUNTIFS('DP və TP'!$B:$B,B30,
'DP və TP'!$Z:$Z,"İcra olunmayıb",'DP və TP'!$AD:$AD,"&lt;=2")</f>
        <v>0</v>
      </c>
      <c r="I30" s="32">
        <f>COUNTIFS('DP və TP'!$B:$B,B30,
'DP və TP'!$Z:$Z,"İcra olunmayıb, prioritet deyil",'DP və TP'!$AD:$AD,"&lt;=2")</f>
        <v>0</v>
      </c>
      <c r="J30" s="33">
        <f>COUNTIFS('DP və TP'!$B:$B,B30,
'DP və TP'!$K:$K,"Tapşırıqların İcrasına Nəzarət platforması üzrə",
'DP və TP'!$Z:$Z,"Tam icra",'DP və TP'!$AD:$AD,"&lt;=2")</f>
        <v>0</v>
      </c>
      <c r="K30" s="33">
        <f>COUNTIFS('DP və TP'!$B:$B,B30,
'DP və TP'!$K:$K,"Tapşırıqların İcrasına Nəzarət platforması üzrə",
'DP və TP'!$Z:$Z,"Qismən icra",'DP və TP'!$AD:$AD,"&lt;=2")</f>
        <v>0</v>
      </c>
      <c r="L30" s="33">
        <f>COUNTIFS('DP və TP'!$B:$B,B30,
'DP və TP'!$K:$K,"Tapşırıqların İcrasına Nəzarət platforması üzrə",
'DP və TP'!$Z:$Z,"İcra müddətinə var",'DP və TP'!$AD:$AD,"&lt;=2")</f>
        <v>0</v>
      </c>
      <c r="M30" s="33">
        <f>COUNTIFS('DP və TP'!$B:$B,B30,
'DP və TP'!$K:$K,"Tapşırıqların İcrasına Nəzarət platforması üzrə",
'DP və TP'!$Z:$Z,"Gecikmə",'DP və TP'!$AD:$AD,"&lt;=2")</f>
        <v>0</v>
      </c>
      <c r="N30" s="33">
        <f>COUNTIFS('DP və TP'!$B:$B,B30,
'DP və TP'!$K:$K,"Tapşırıqların İcrasına Nəzarət platforması üzrə",
'DP və TP'!$Z:$Z,"İcra olunmayıb",'DP və TP'!$AD:$AD,"&lt;=2")</f>
        <v>0</v>
      </c>
      <c r="O30" s="34">
        <f>COUNTIFS('DP və TP'!$B:$B,B30,
'DP və TP'!$K:$K,"Tapşırıqların İcrasına Nəzarət platforması üzrə",
'DP və TP'!$Z:$Z,"İcra olunmayıb, prioritet deyil",'DP və TP'!$AD:$AD,"&lt;=2")</f>
        <v>0</v>
      </c>
      <c r="P30" s="40">
        <f t="shared" si="1"/>
        <v>0</v>
      </c>
    </row>
    <row r="31" spans="1:16" ht="31.5" customHeight="1" x14ac:dyDescent="0.3">
      <c r="A31" s="22">
        <v>21</v>
      </c>
      <c r="B31" s="23" t="s">
        <v>421</v>
      </c>
      <c r="C31" s="77">
        <f>COUNTIFS('DP və TP'!$B:$B,B31,'DP və TP'!$AD:$AD,"&lt;=2")</f>
        <v>1</v>
      </c>
      <c r="D31" s="81">
        <f>COUNTIFS('DP və TP'!$B:$B,B31,'DP və TP'!$Z:$Z,"Tam icra",'DP və TP'!$AD:$AD,"&lt;=2")</f>
        <v>0</v>
      </c>
      <c r="E31" s="32">
        <f>COUNTIFS('DP və TP'!$B:$B,B31,
'DP və TP'!$Z:$Z,"Qismən icra",'DP və TP'!$AD:$AD,"&lt;=2")</f>
        <v>0</v>
      </c>
      <c r="F31" s="32">
        <f>COUNTIFS('DP və TP'!$B:$B,B31,
'DP və TP'!$Z:$Z,"İcra müddətinə var",'DP və TP'!$AD:$AD,"&lt;=2")</f>
        <v>0</v>
      </c>
      <c r="G31" s="32">
        <f>COUNTIFS('DP və TP'!$B:$B,B31,
'DP və TP'!$Z:$Z,"Gecikmə",'DP və TP'!$AD:$AD,"&lt;=2")</f>
        <v>0</v>
      </c>
      <c r="H31" s="32">
        <f>COUNTIFS('DP və TP'!$B:$B,B31,
'DP və TP'!$Z:$Z,"İcra olunmayıb",'DP və TP'!$AD:$AD,"&lt;=2")</f>
        <v>0</v>
      </c>
      <c r="I31" s="32">
        <f>COUNTIFS('DP və TP'!$B:$B,B31,
'DP və TP'!$Z:$Z,"İcra olunmayıb, prioritet deyil",'DP və TP'!$AD:$AD,"&lt;=2")</f>
        <v>0</v>
      </c>
      <c r="J31" s="33">
        <f>COUNTIFS('DP və TP'!$B:$B,B31,
'DP və TP'!$K:$K,"Tapşırıqların İcrasına Nəzarət platforması üzrə",
'DP və TP'!$Z:$Z,"Tam icra",'DP və TP'!$AD:$AD,"&lt;=2")</f>
        <v>0</v>
      </c>
      <c r="K31" s="33">
        <f>COUNTIFS('DP və TP'!$B:$B,B31,
'DP və TP'!$K:$K,"Tapşırıqların İcrasına Nəzarət platforması üzrə",
'DP və TP'!$Z:$Z,"Qismən icra",'DP və TP'!$AD:$AD,"&lt;=2")</f>
        <v>0</v>
      </c>
      <c r="L31" s="33">
        <f>COUNTIFS('DP və TP'!$B:$B,B31,
'DP və TP'!$K:$K,"Tapşırıqların İcrasına Nəzarət platforması üzrə",
'DP və TP'!$Z:$Z,"İcra müddətinə var",'DP və TP'!$AD:$AD,"&lt;=2")</f>
        <v>0</v>
      </c>
      <c r="M31" s="33">
        <f>COUNTIFS('DP və TP'!$B:$B,B31,
'DP və TP'!$K:$K,"Tapşırıqların İcrasına Nəzarət platforması üzrə",
'DP və TP'!$Z:$Z,"Gecikmə",'DP və TP'!$AD:$AD,"&lt;=2")</f>
        <v>0</v>
      </c>
      <c r="N31" s="33">
        <f>COUNTIFS('DP və TP'!$B:$B,B31,
'DP və TP'!$K:$K,"Tapşırıqların İcrasına Nəzarət platforması üzrə",
'DP və TP'!$Z:$Z,"İcra olunmayıb",'DP və TP'!$AD:$AD,"&lt;=2")</f>
        <v>0</v>
      </c>
      <c r="O31" s="34">
        <f>COUNTIFS('DP və TP'!$B:$B,B31,
'DP və TP'!$K:$K,"Tapşırıqların İcrasına Nəzarət platforması üzrə",
'DP və TP'!$Z:$Z,"İcra olunmayıb, prioritet deyil",'DP və TP'!$AD:$AD,"&lt;=2")</f>
        <v>0</v>
      </c>
      <c r="P31" s="43">
        <f t="shared" si="1"/>
        <v>0</v>
      </c>
    </row>
    <row r="32" spans="1:16" ht="29.25" customHeight="1" x14ac:dyDescent="0.3">
      <c r="A32" s="22">
        <v>22</v>
      </c>
      <c r="B32" s="23" t="s">
        <v>129</v>
      </c>
      <c r="C32" s="77">
        <f>COUNTIFS('DP və TP'!$B:$B,B32,'DP və TP'!$AD:$AD,"&lt;=2")</f>
        <v>4</v>
      </c>
      <c r="D32" s="81">
        <f>COUNTIFS('DP və TP'!$B:$B,B32,'DP və TP'!$Z:$Z,"Tam icra",'DP və TP'!$AD:$AD,"&lt;=2")</f>
        <v>0</v>
      </c>
      <c r="E32" s="32">
        <f>COUNTIFS('DP və TP'!$B:$B,B32,
'DP və TP'!$Z:$Z,"Qismən icra",'DP və TP'!$AD:$AD,"&lt;=2")</f>
        <v>0</v>
      </c>
      <c r="F32" s="32">
        <f>COUNTIFS('DP və TP'!$B:$B,B32,
'DP və TP'!$Z:$Z,"İcra müddətinə var",'DP və TP'!$AD:$AD,"&lt;=2")</f>
        <v>0</v>
      </c>
      <c r="G32" s="32">
        <f>COUNTIFS('DP və TP'!$B:$B,B32,
'DP və TP'!$Z:$Z,"Gecikmə",'DP və TP'!$AD:$AD,"&lt;=2")</f>
        <v>0</v>
      </c>
      <c r="H32" s="32">
        <f>COUNTIFS('DP və TP'!$B:$B,B32,
'DP və TP'!$Z:$Z,"İcra olunmayıb",'DP və TP'!$AD:$AD,"&lt;=2")</f>
        <v>0</v>
      </c>
      <c r="I32" s="32">
        <f>COUNTIFS('DP və TP'!$B:$B,B32,
'DP və TP'!$Z:$Z,"İcra olunmayıb, prioritet deyil",'DP və TP'!$AD:$AD,"&lt;=2")</f>
        <v>0</v>
      </c>
      <c r="J32" s="33">
        <f>COUNTIFS('DP və TP'!$B:$B,B32,
'DP və TP'!$K:$K,"Tapşırıqların İcrasına Nəzarət platforması üzrə",
'DP və TP'!$Z:$Z,"Tam icra",'DP və TP'!$AD:$AD,"&lt;=2")</f>
        <v>0</v>
      </c>
      <c r="K32" s="33">
        <f>COUNTIFS('DP və TP'!$B:$B,B32,
'DP və TP'!$K:$K,"Tapşırıqların İcrasına Nəzarət platforması üzrə",
'DP və TP'!$Z:$Z,"Qismən icra",'DP və TP'!$AD:$AD,"&lt;=2")</f>
        <v>0</v>
      </c>
      <c r="L32" s="33">
        <f>COUNTIFS('DP və TP'!$B:$B,B32,
'DP və TP'!$K:$K,"Tapşırıqların İcrasına Nəzarət platforması üzrə",
'DP və TP'!$Z:$Z,"İcra müddətinə var",'DP və TP'!$AD:$AD,"&lt;=2")</f>
        <v>0</v>
      </c>
      <c r="M32" s="33">
        <f>COUNTIFS('DP və TP'!$B:$B,B32,
'DP və TP'!$K:$K,"Tapşırıqların İcrasına Nəzarət platforması üzrə",
'DP və TP'!$Z:$Z,"Gecikmə",'DP və TP'!$AD:$AD,"&lt;=2")</f>
        <v>0</v>
      </c>
      <c r="N32" s="33">
        <f>COUNTIFS('DP və TP'!$B:$B,B32,
'DP və TP'!$K:$K,"Tapşırıqların İcrasına Nəzarət platforması üzrə",
'DP və TP'!$Z:$Z,"İcra olunmayıb",'DP və TP'!$AD:$AD,"&lt;=2")</f>
        <v>0</v>
      </c>
      <c r="O32" s="34">
        <f>COUNTIFS('DP və TP'!$B:$B,B32,
'DP və TP'!$K:$K,"Tapşırıqların İcrasına Nəzarət platforması üzrə",
'DP və TP'!$Z:$Z,"İcra olunmayıb, prioritet deyil",'DP və TP'!$AD:$AD,"&lt;=2")</f>
        <v>0</v>
      </c>
      <c r="P32" s="40">
        <f t="shared" si="1"/>
        <v>0</v>
      </c>
    </row>
    <row r="33" spans="1:16" ht="21.75" customHeight="1" x14ac:dyDescent="0.3">
      <c r="A33" s="22">
        <v>23</v>
      </c>
      <c r="B33" s="23" t="s">
        <v>544</v>
      </c>
      <c r="C33" s="77">
        <f>COUNTIFS('DP və TP'!$B:$B,B33,'DP və TP'!$AD:$AD,"&lt;=2")</f>
        <v>4</v>
      </c>
      <c r="D33" s="81">
        <f>COUNTIFS('DP və TP'!$B:$B,B33,'DP və TP'!$Z:$Z,"Tam icra",'DP və TP'!$AD:$AD,"&lt;=2")</f>
        <v>0</v>
      </c>
      <c r="E33" s="32">
        <f>COUNTIFS('DP və TP'!$B:$B,B33,
'DP və TP'!$Z:$Z,"Qismən icra",'DP və TP'!$AD:$AD,"&lt;=2")</f>
        <v>0</v>
      </c>
      <c r="F33" s="32">
        <f>COUNTIFS('DP və TP'!$B:$B,B33,
'DP və TP'!$Z:$Z,"İcra müddətinə var",'DP və TP'!$AD:$AD,"&lt;=2")</f>
        <v>0</v>
      </c>
      <c r="G33" s="32">
        <f>COUNTIFS('DP və TP'!$B:$B,B33,
'DP və TP'!$Z:$Z,"Gecikmə",'DP və TP'!$AD:$AD,"&lt;=2")</f>
        <v>0</v>
      </c>
      <c r="H33" s="32">
        <f>COUNTIFS('DP və TP'!$B:$B,B33,
'DP və TP'!$Z:$Z,"İcra olunmayıb",'DP və TP'!$AD:$AD,"&lt;=2")</f>
        <v>0</v>
      </c>
      <c r="I33" s="32">
        <f>COUNTIFS('DP və TP'!$B:$B,B33,
'DP və TP'!$Z:$Z,"İcra olunmayıb, prioritet deyil",'DP və TP'!$AD:$AD,"&lt;=2")</f>
        <v>0</v>
      </c>
      <c r="J33" s="33">
        <f>COUNTIFS('DP və TP'!$B:$B,B33,
'DP və TP'!$K:$K,"Tapşırıqların İcrasına Nəzarət platforması üzrə",
'DP və TP'!$Z:$Z,"Tam icra",'DP və TP'!$AD:$AD,"&lt;=2")</f>
        <v>0</v>
      </c>
      <c r="K33" s="33">
        <f>COUNTIFS('DP və TP'!$B:$B,B33,
'DP və TP'!$K:$K,"Tapşırıqların İcrasına Nəzarət platforması üzrə",
'DP və TP'!$Z:$Z,"Qismən icra",'DP və TP'!$AD:$AD,"&lt;=2")</f>
        <v>0</v>
      </c>
      <c r="L33" s="33">
        <f>COUNTIFS('DP və TP'!$B:$B,B33,
'DP və TP'!$K:$K,"Tapşırıqların İcrasına Nəzarət platforması üzrə",
'DP və TP'!$Z:$Z,"İcra müddətinə var",'DP və TP'!$AD:$AD,"&lt;=2")</f>
        <v>0</v>
      </c>
      <c r="M33" s="33">
        <f>COUNTIFS('DP və TP'!$B:$B,B33,
'DP və TP'!$K:$K,"Tapşırıqların İcrasına Nəzarət platforması üzrə",
'DP və TP'!$Z:$Z,"Gecikmə",'DP və TP'!$AD:$AD,"&lt;=2")</f>
        <v>0</v>
      </c>
      <c r="N33" s="33">
        <f>COUNTIFS('DP və TP'!$B:$B,B33,
'DP və TP'!$K:$K,"Tapşırıqların İcrasına Nəzarət platforması üzrə",
'DP və TP'!$Z:$Z,"İcra olunmayıb",'DP və TP'!$AD:$AD,"&lt;=2")</f>
        <v>0</v>
      </c>
      <c r="O33" s="34">
        <f>COUNTIFS('DP və TP'!$B:$B,B33,
'DP və TP'!$K:$K,"Tapşırıqların İcrasına Nəzarət platforması üzrə",
'DP və TP'!$Z:$Z,"İcra olunmayıb, prioritet deyil",'DP və TP'!$AD:$AD,"&lt;=2")</f>
        <v>0</v>
      </c>
      <c r="P33" s="51">
        <f t="shared" si="1"/>
        <v>0</v>
      </c>
    </row>
    <row r="34" spans="1:16" ht="46.5" customHeight="1" x14ac:dyDescent="0.3">
      <c r="A34" s="22">
        <v>24</v>
      </c>
      <c r="B34" s="52" t="s">
        <v>641</v>
      </c>
      <c r="C34" s="77">
        <f>COUNTIFS('DP və TP'!$B:$B,B34,'DP və TP'!$AD:$AD,"&lt;=2")</f>
        <v>18</v>
      </c>
      <c r="D34" s="81">
        <f>COUNTIFS('DP və TP'!$B:$B,B34,'DP və TP'!$Z:$Z,"Tam icra",'DP və TP'!$AD:$AD,"&lt;=2")</f>
        <v>0</v>
      </c>
      <c r="E34" s="32">
        <f>COUNTIFS('DP və TP'!$B:$B,B34,
'DP və TP'!$Z:$Z,"Qismən icra",'DP və TP'!$AD:$AD,"&lt;=2")</f>
        <v>0</v>
      </c>
      <c r="F34" s="32">
        <f>COUNTIFS('DP və TP'!$B:$B,B34,
'DP və TP'!$Z:$Z,"İcra müddətinə var",'DP və TP'!$AD:$AD,"&lt;=2")</f>
        <v>0</v>
      </c>
      <c r="G34" s="32">
        <f>COUNTIFS('DP və TP'!$B:$B,B34,
'DP və TP'!$Z:$Z,"Gecikmə",'DP və TP'!$AD:$AD,"&lt;=2")</f>
        <v>0</v>
      </c>
      <c r="H34" s="32">
        <f>COUNTIFS('DP və TP'!$B:$B,B34,
'DP və TP'!$Z:$Z,"İcra olunmayıb",'DP və TP'!$AD:$AD,"&lt;=2")</f>
        <v>0</v>
      </c>
      <c r="I34" s="32">
        <f>COUNTIFS('DP və TP'!$B:$B,B34,
'DP və TP'!$Z:$Z,"İcra olunmayıb, prioritet deyil",'DP və TP'!$AD:$AD,"&lt;=2")</f>
        <v>0</v>
      </c>
      <c r="J34" s="33">
        <f>COUNTIFS('DP və TP'!$B:$B,B34,
'DP və TP'!$K:$K,"Tapşırıqların İcrasına Nəzarət platforması üzrə",
'DP və TP'!$Z:$Z,"Tam icra",'DP və TP'!$AD:$AD,"&lt;=2")</f>
        <v>0</v>
      </c>
      <c r="K34" s="33">
        <f>COUNTIFS('DP və TP'!$B:$B,B34,
'DP və TP'!$K:$K,"Tapşırıqların İcrasına Nəzarət platforması üzrə",
'DP və TP'!$Z:$Z,"Qismən icra",'DP və TP'!$AD:$AD,"&lt;=2")</f>
        <v>0</v>
      </c>
      <c r="L34" s="33">
        <f>COUNTIFS('DP və TP'!$B:$B,B34,
'DP və TP'!$K:$K,"Tapşırıqların İcrasına Nəzarət platforması üzrə",
'DP və TP'!$Z:$Z,"İcra müddətinə var",'DP və TP'!$AD:$AD,"&lt;=2")</f>
        <v>0</v>
      </c>
      <c r="M34" s="33">
        <f>COUNTIFS('DP və TP'!$B:$B,B34,
'DP və TP'!$K:$K,"Tapşırıqların İcrasına Nəzarət platforması üzrə",
'DP və TP'!$Z:$Z,"Gecikmə",'DP və TP'!$AD:$AD,"&lt;=2")</f>
        <v>0</v>
      </c>
      <c r="N34" s="33">
        <f>COUNTIFS('DP və TP'!$B:$B,B34,
'DP və TP'!$K:$K,"Tapşırıqların İcrasına Nəzarət platforması üzrə",
'DP və TP'!$Z:$Z,"İcra olunmayıb",'DP və TP'!$AD:$AD,"&lt;=2")</f>
        <v>0</v>
      </c>
      <c r="O34" s="34">
        <f>COUNTIFS('DP və TP'!$B:$B,B34,
'DP və TP'!$K:$K,"Tapşırıqların İcrasına Nəzarət platforması üzrə",
'DP və TP'!$Z:$Z,"İcra olunmayıb, prioritet deyil",'DP və TP'!$AD:$AD,"&lt;=2")</f>
        <v>0</v>
      </c>
      <c r="P34" s="43"/>
    </row>
    <row r="35" spans="1:16" ht="36" customHeight="1" x14ac:dyDescent="0.3">
      <c r="A35" s="22">
        <v>25</v>
      </c>
      <c r="B35" s="52" t="s">
        <v>561</v>
      </c>
      <c r="C35" s="77">
        <f>COUNTIFS('DP və TP'!$B:$B,B35,'DP və TP'!$AD:$AD,"&lt;=2")</f>
        <v>28</v>
      </c>
      <c r="D35" s="81">
        <f>COUNTIFS('DP və TP'!$B:$B,B35,'DP və TP'!$Z:$Z,"Tam icra",'DP və TP'!$AD:$AD,"&lt;=2")</f>
        <v>0</v>
      </c>
      <c r="E35" s="32">
        <f>COUNTIFS('DP və TP'!$B:$B,B35,
'DP və TP'!$Z:$Z,"Qismən icra",'DP və TP'!$AD:$AD,"&lt;=2")</f>
        <v>0</v>
      </c>
      <c r="F35" s="32">
        <f>COUNTIFS('DP və TP'!$B:$B,B35,
'DP və TP'!$Z:$Z,"İcra müddətinə var",'DP və TP'!$AD:$AD,"&lt;=2")</f>
        <v>0</v>
      </c>
      <c r="G35" s="32">
        <f>COUNTIFS('DP və TP'!$B:$B,B35,
'DP və TP'!$Z:$Z,"Gecikmə",'DP və TP'!$AD:$AD,"&lt;=2")</f>
        <v>0</v>
      </c>
      <c r="H35" s="32">
        <f>COUNTIFS('DP və TP'!$B:$B,B35,
'DP və TP'!$Z:$Z,"İcra olunmayıb",'DP və TP'!$AD:$AD,"&lt;=2")</f>
        <v>0</v>
      </c>
      <c r="I35" s="32">
        <f>COUNTIFS('DP və TP'!$B:$B,B35,
'DP və TP'!$Z:$Z,"İcra olunmayıb, prioritet deyil",'DP və TP'!$AD:$AD,"&lt;=2")</f>
        <v>0</v>
      </c>
      <c r="J35" s="33">
        <f>COUNTIFS('DP və TP'!$B:$B,B35,
'DP və TP'!$K:$K,"Tapşırıqların İcrasına Nəzarət platforması üzrə",
'DP və TP'!$Z:$Z,"Tam icra",'DP və TP'!$AD:$AD,"&lt;=2")</f>
        <v>0</v>
      </c>
      <c r="K35" s="33">
        <f>COUNTIFS('DP və TP'!$B:$B,B35,
'DP və TP'!$K:$K,"Tapşırıqların İcrasına Nəzarət platforması üzrə",
'DP və TP'!$Z:$Z,"Qismən icra",'DP və TP'!$AD:$AD,"&lt;=2")</f>
        <v>0</v>
      </c>
      <c r="L35" s="33">
        <f>COUNTIFS('DP və TP'!$B:$B,B35,
'DP və TP'!$K:$K,"Tapşırıqların İcrasına Nəzarət platforması üzrə",
'DP və TP'!$Z:$Z,"İcra müddətinə var",'DP və TP'!$AD:$AD,"&lt;=2")</f>
        <v>0</v>
      </c>
      <c r="M35" s="33">
        <f>COUNTIFS('DP və TP'!$B:$B,B35,
'DP və TP'!$K:$K,"Tapşırıqların İcrasına Nəzarət platforması üzrə",
'DP və TP'!$Z:$Z,"Gecikmə",'DP və TP'!$AD:$AD,"&lt;=2")</f>
        <v>0</v>
      </c>
      <c r="N35" s="33">
        <f>COUNTIFS('DP və TP'!$B:$B,B35,
'DP və TP'!$K:$K,"Tapşırıqların İcrasına Nəzarət platforması üzrə",
'DP və TP'!$Z:$Z,"İcra olunmayıb",'DP və TP'!$AD:$AD,"&lt;=2")</f>
        <v>0</v>
      </c>
      <c r="O35" s="34">
        <f>COUNTIFS('DP və TP'!$B:$B,B35,
'DP və TP'!$K:$K,"Tapşırıqların İcrasına Nəzarət platforması üzrə",
'DP və TP'!$Z:$Z,"İcra olunmayıb, prioritet deyil",'DP və TP'!$AD:$AD,"&lt;=2")</f>
        <v>0</v>
      </c>
      <c r="P35" s="40">
        <f>SUM(J35:O35)</f>
        <v>0</v>
      </c>
    </row>
    <row r="36" spans="1:16" ht="36" customHeight="1" x14ac:dyDescent="0.3">
      <c r="A36" s="22">
        <v>26</v>
      </c>
      <c r="B36" s="52" t="s">
        <v>685</v>
      </c>
      <c r="C36" s="77">
        <f>COUNTIFS('DP və TP'!$B:$B,B36,'DP və TP'!$AD:$AD,"&lt;=2")</f>
        <v>124</v>
      </c>
      <c r="D36" s="81">
        <f>COUNTIFS('DP və TP'!$B:$B,B36,'DP və TP'!$Z:$Z,"Tam icra",'DP və TP'!$AD:$AD,"&lt;=2")</f>
        <v>0</v>
      </c>
      <c r="E36" s="32">
        <f>COUNTIFS('DP və TP'!$B:$B,B36,
'DP və TP'!$Z:$Z,"Qismən icra",'DP və TP'!$AD:$AD,"&lt;=2")</f>
        <v>0</v>
      </c>
      <c r="F36" s="32">
        <f>COUNTIFS('DP və TP'!$B:$B,B36,
'DP və TP'!$Z:$Z,"İcra müddətinə var",'DP və TP'!$AD:$AD,"&lt;=2")</f>
        <v>0</v>
      </c>
      <c r="G36" s="32">
        <f>COUNTIFS('DP və TP'!$B:$B,B36,
'DP və TP'!$Z:$Z,"Gecikmə",'DP və TP'!$AD:$AD,"&lt;=2")</f>
        <v>0</v>
      </c>
      <c r="H36" s="32">
        <f>COUNTIFS('DP və TP'!$B:$B,B36,
'DP və TP'!$Z:$Z,"İcra olunmayıb",'DP və TP'!$AD:$AD,"&lt;=2")</f>
        <v>0</v>
      </c>
      <c r="I36" s="32">
        <f>COUNTIFS('DP və TP'!$B:$B,B36,
'DP və TP'!$Z:$Z,"İcra olunmayıb, prioritet deyil",'DP və TP'!$AD:$AD,"&lt;=2")</f>
        <v>0</v>
      </c>
      <c r="J36" s="33">
        <f>COUNTIFS('DP və TP'!$B:$B,B36,
'DP və TP'!$K:$K,"Tapşırıqların İcrasına Nəzarət platforması üzrə",
'DP və TP'!$Z:$Z,"Tam icra",'DP və TP'!$AD:$AD,"&lt;=2")</f>
        <v>0</v>
      </c>
      <c r="K36" s="33">
        <f>COUNTIFS('DP və TP'!$B:$B,B36,
'DP və TP'!$K:$K,"Tapşırıqların İcrasına Nəzarət platforması üzrə",
'DP və TP'!$Z:$Z,"Qismən icra",'DP və TP'!$AD:$AD,"&lt;=2")</f>
        <v>0</v>
      </c>
      <c r="L36" s="33">
        <f>COUNTIFS('DP və TP'!$B:$B,B36,
'DP və TP'!$K:$K,"Tapşırıqların İcrasına Nəzarət platforması üzrə",
'DP və TP'!$Z:$Z,"İcra müddətinə var",'DP və TP'!$AD:$AD,"&lt;=2")</f>
        <v>0</v>
      </c>
      <c r="M36" s="33">
        <f>COUNTIFS('DP və TP'!$B:$B,B36,
'DP və TP'!$K:$K,"Tapşırıqların İcrasına Nəzarət platforması üzrə",
'DP və TP'!$Z:$Z,"Gecikmə",'DP və TP'!$AD:$AD,"&lt;=2")</f>
        <v>0</v>
      </c>
      <c r="N36" s="33">
        <f>COUNTIFS('DP və TP'!$B:$B,B36,
'DP və TP'!$K:$K,"Tapşırıqların İcrasına Nəzarət platforması üzrə",
'DP və TP'!$Z:$Z,"İcra olunmayıb",'DP və TP'!$AD:$AD,"&lt;=2")</f>
        <v>0</v>
      </c>
      <c r="O36" s="34">
        <f>COUNTIFS('DP və TP'!$B:$B,B36,
'DP və TP'!$K:$K,"Tapşırıqların İcrasına Nəzarət platforması üzrə",
'DP və TP'!$Z:$Z,"İcra olunmayıb, prioritet deyil",'DP və TP'!$AD:$AD,"&lt;=2")</f>
        <v>0</v>
      </c>
      <c r="P36" s="40">
        <f>SUM(J36:O36)</f>
        <v>0</v>
      </c>
    </row>
    <row r="37" spans="1:16" ht="46.5" customHeight="1" x14ac:dyDescent="0.3">
      <c r="A37" s="22">
        <v>27</v>
      </c>
      <c r="B37" s="52" t="s">
        <v>681</v>
      </c>
      <c r="C37" s="77">
        <f>COUNTIFS('DP və TP'!$B:$B,B37,'DP və TP'!$AD:$AD,"&lt;=2")</f>
        <v>3</v>
      </c>
      <c r="D37" s="81">
        <f>COUNTIFS('DP və TP'!$B:$B,B37,'DP və TP'!$Z:$Z,"Tam icra",'DP və TP'!$AD:$AD,"&lt;=2")</f>
        <v>0</v>
      </c>
      <c r="E37" s="32">
        <f>COUNTIFS('DP və TP'!$B:$B,B37,
'DP və TP'!$Z:$Z,"Qismən icra",'DP və TP'!$AD:$AD,"&lt;=2")</f>
        <v>0</v>
      </c>
      <c r="F37" s="32">
        <f>COUNTIFS('DP və TP'!$B:$B,B37,
'DP və TP'!$Z:$Z,"İcra müddətinə var",'DP və TP'!$AD:$AD,"&lt;=2")</f>
        <v>0</v>
      </c>
      <c r="G37" s="32">
        <f>COUNTIFS('DP və TP'!$B:$B,B37,
'DP və TP'!$Z:$Z,"Gecikmə",'DP və TP'!$AD:$AD,"&lt;=2")</f>
        <v>0</v>
      </c>
      <c r="H37" s="32">
        <f>COUNTIFS('DP və TP'!$B:$B,B37,
'DP və TP'!$Z:$Z,"İcra olunmayıb",'DP və TP'!$AD:$AD,"&lt;=2")</f>
        <v>0</v>
      </c>
      <c r="I37" s="32">
        <f>COUNTIFS('DP və TP'!$B:$B,B37,
'DP və TP'!$Z:$Z,"İcra olunmayıb, prioritet deyil",'DP və TP'!$AD:$AD,"&lt;=2")</f>
        <v>0</v>
      </c>
      <c r="J37" s="33">
        <f>COUNTIFS('DP və TP'!$B:$B,B37,
'DP və TP'!$K:$K,"Tapşırıqların İcrasına Nəzarət platforması üzrə",
'DP və TP'!$Z:$Z,"Tam icra",'DP və TP'!$AD:$AD,"&lt;=2")</f>
        <v>0</v>
      </c>
      <c r="K37" s="33">
        <f>COUNTIFS('DP və TP'!$B:$B,B37,
'DP və TP'!$K:$K,"Tapşırıqların İcrasına Nəzarət platforması üzrə",
'DP və TP'!$Z:$Z,"Qismən icra",'DP və TP'!$AD:$AD,"&lt;=2")</f>
        <v>0</v>
      </c>
      <c r="L37" s="33">
        <f>COUNTIFS('DP və TP'!$B:$B,B37,
'DP və TP'!$K:$K,"Tapşırıqların İcrasına Nəzarət platforması üzrə",
'DP və TP'!$Z:$Z,"İcra müddətinə var",'DP və TP'!$AD:$AD,"&lt;=2")</f>
        <v>0</v>
      </c>
      <c r="M37" s="33">
        <f>COUNTIFS('DP və TP'!$B:$B,B37,
'DP və TP'!$K:$K,"Tapşırıqların İcrasına Nəzarət platforması üzrə",
'DP və TP'!$Z:$Z,"Gecikmə",'DP və TP'!$AD:$AD,"&lt;=2")</f>
        <v>0</v>
      </c>
      <c r="N37" s="33">
        <f>COUNTIFS('DP və TP'!$B:$B,B37,
'DP və TP'!$K:$K,"Tapşırıqların İcrasına Nəzarət platforması üzrə",
'DP və TP'!$Z:$Z,"İcra olunmayıb",'DP və TP'!$AD:$AD,"&lt;=2")</f>
        <v>0</v>
      </c>
      <c r="O37" s="34">
        <f>COUNTIFS('DP və TP'!$B:$B,B37,
'DP və TP'!$K:$K,"Tapşırıqların İcrasına Nəzarət platforması üzrə",
'DP və TP'!$Z:$Z,"İcra olunmayıb, prioritet deyil",'DP və TP'!$AD:$AD,"&lt;=2")</f>
        <v>0</v>
      </c>
      <c r="P37" s="40"/>
    </row>
    <row r="38" spans="1:16" ht="60.75" customHeight="1" x14ac:dyDescent="0.3">
      <c r="A38" s="22">
        <v>28</v>
      </c>
      <c r="B38" s="52" t="s">
        <v>550</v>
      </c>
      <c r="C38" s="77">
        <f>COUNTIFS('DP və TP'!$B:$B,B38,'DP və TP'!$AD:$AD,"&lt;=2")</f>
        <v>4</v>
      </c>
      <c r="D38" s="82">
        <f>COUNTIFS('DP və TP'!$B:$B,B38,'DP və TP'!$Z:$Z,"Tam icra",'DP və TP'!$AD:$AD,"&lt;=2")</f>
        <v>0</v>
      </c>
      <c r="E38" s="83">
        <f>COUNTIFS('DP və TP'!$B:$B,B38,
'DP və TP'!$Z:$Z,"Qismən icra",'DP və TP'!$AD:$AD,"&lt;=2")</f>
        <v>0</v>
      </c>
      <c r="F38" s="83">
        <f>COUNTIFS('DP və TP'!$B:$B,B38,
'DP və TP'!$Z:$Z,"İcra müddətinə var",'DP və TP'!$AD:$AD,"&lt;=2")</f>
        <v>0</v>
      </c>
      <c r="G38" s="83">
        <f>COUNTIFS('DP və TP'!$B:$B,B38,
'DP və TP'!$Z:$Z,"Gecikmə",'DP və TP'!$AD:$AD,"&lt;=2")</f>
        <v>0</v>
      </c>
      <c r="H38" s="83">
        <f>COUNTIFS('DP və TP'!$B:$B,B38,
'DP və TP'!$Z:$Z,"İcra olunmayıb",'DP və TP'!$AD:$AD,"&lt;=2")</f>
        <v>0</v>
      </c>
      <c r="I38" s="83">
        <f>COUNTIFS('DP və TP'!$B:$B,B38,
'DP və TP'!$Z:$Z,"İcra olunmayıb, prioritet deyil",'DP və TP'!$AD:$AD,"&lt;=2")</f>
        <v>0</v>
      </c>
      <c r="J38" s="54">
        <f>COUNTIFS('DP və TP'!$B:$B,B38,
'DP və TP'!$K:$K,"Tapşırıqların İcrasına Nəzarət platforması üzrə",
'DP və TP'!$Z:$Z,"Tam icra",'DP və TP'!$AD:$AD,"&lt;=2")</f>
        <v>0</v>
      </c>
      <c r="K38" s="54">
        <f>COUNTIFS('DP və TP'!$B:$B,B38,
'DP və TP'!$K:$K,"Tapşırıqların İcrasına Nəzarət platforması üzrə",
'DP və TP'!$Z:$Z,"Qismən icra",'DP və TP'!$AD:$AD,"&lt;=2")</f>
        <v>0</v>
      </c>
      <c r="L38" s="54">
        <f>COUNTIFS('DP və TP'!$B:$B,B38,
'DP və TP'!$K:$K,"Tapşırıqların İcrasına Nəzarət platforması üzrə",
'DP və TP'!$Z:$Z,"İcra müddətinə var",'DP və TP'!$AD:$AD,"&lt;=2")</f>
        <v>0</v>
      </c>
      <c r="M38" s="54">
        <f>COUNTIFS('DP və TP'!$B:$B,B38,
'DP və TP'!$K:$K,"Tapşırıqların İcrasına Nəzarət platforması üzrə",
'DP və TP'!$Z:$Z,"Gecikmə",'DP və TP'!$AD:$AD,"&lt;=2")</f>
        <v>0</v>
      </c>
      <c r="N38" s="54">
        <f>COUNTIFS('DP və TP'!$B:$B,B38,
'DP və TP'!$K:$K,"Tapşırıqların İcrasına Nəzarət platforması üzrə",
'DP və TP'!$Z:$Z,"İcra olunmayıb",'DP və TP'!$AD:$AD,"&lt;=2")</f>
        <v>0</v>
      </c>
      <c r="O38" s="55">
        <f>COUNTIFS('DP və TP'!$B:$B,B38,
'DP və TP'!$K:$K,"Tapşırıqların İcrasına Nəzarət platforması üzrə",
'DP və TP'!$Z:$Z,"İcra olunmayıb, prioritet deyil",'DP və TP'!$AD:$AD,"&lt;=2")</f>
        <v>0</v>
      </c>
      <c r="P38" s="56">
        <f>SUM(J38:O38)</f>
        <v>0</v>
      </c>
    </row>
    <row r="39" spans="1:16" ht="16.5" customHeight="1" x14ac:dyDescent="0.3">
      <c r="A39" s="153" t="s">
        <v>1088</v>
      </c>
      <c r="B39" s="153"/>
      <c r="C39" s="1">
        <f t="shared" ref="C39:I39" si="2">SUM(C11:C38)</f>
        <v>319</v>
      </c>
      <c r="D39" s="84">
        <f t="shared" si="2"/>
        <v>0</v>
      </c>
      <c r="E39" s="84">
        <f t="shared" si="2"/>
        <v>0</v>
      </c>
      <c r="F39" s="84">
        <f t="shared" si="2"/>
        <v>0</v>
      </c>
      <c r="G39" s="84">
        <f t="shared" si="2"/>
        <v>0</v>
      </c>
      <c r="H39" s="84">
        <f t="shared" si="2"/>
        <v>0</v>
      </c>
      <c r="I39" s="84">
        <f t="shared" si="2"/>
        <v>0</v>
      </c>
      <c r="J39" s="60">
        <f t="shared" ref="J39:P39" si="3">SUM(J11:J33)</f>
        <v>0</v>
      </c>
      <c r="K39" s="60">
        <f t="shared" si="3"/>
        <v>0</v>
      </c>
      <c r="L39" s="60">
        <f t="shared" si="3"/>
        <v>0</v>
      </c>
      <c r="M39" s="60">
        <f t="shared" si="3"/>
        <v>0</v>
      </c>
      <c r="N39" s="60">
        <f t="shared" si="3"/>
        <v>0</v>
      </c>
      <c r="O39" s="60">
        <f t="shared" si="3"/>
        <v>0</v>
      </c>
      <c r="P39" s="40">
        <f t="shared" si="3"/>
        <v>0</v>
      </c>
    </row>
    <row r="40" spans="1:16" ht="15.75" customHeight="1" x14ac:dyDescent="0.3">
      <c r="B40" s="62"/>
      <c r="C40" s="62"/>
    </row>
    <row r="41" spans="1:16" ht="31.5" customHeight="1" x14ac:dyDescent="0.3">
      <c r="B41" s="65"/>
      <c r="C41" s="65"/>
      <c r="D41" s="65"/>
    </row>
    <row r="42" spans="1:16" ht="27" customHeight="1" x14ac:dyDescent="0.3">
      <c r="B42" s="65"/>
      <c r="C42" s="65"/>
      <c r="D42" s="65"/>
    </row>
    <row r="43" spans="1:16" ht="25.5" customHeight="1" x14ac:dyDescent="0.3">
      <c r="B43" s="65"/>
      <c r="C43" s="65"/>
      <c r="D43" s="65"/>
    </row>
    <row r="45" spans="1:16" ht="15" customHeight="1" x14ac:dyDescent="0.3">
      <c r="B45" s="66"/>
      <c r="C45" s="66"/>
    </row>
    <row r="46" spans="1:16" ht="18" customHeight="1" x14ac:dyDescent="0.3">
      <c r="B46" s="66"/>
      <c r="C46" s="66"/>
    </row>
  </sheetData>
  <mergeCells count="6">
    <mergeCell ref="J9:P9"/>
    <mergeCell ref="A39:B39"/>
    <mergeCell ref="A9:A10"/>
    <mergeCell ref="B9:B10"/>
    <mergeCell ref="C9:C10"/>
    <mergeCell ref="D9:I9"/>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6"/>
  <sheetViews>
    <sheetView topLeftCell="A29" zoomScaleNormal="100" workbookViewId="0">
      <selection activeCell="D11" sqref="D11"/>
    </sheetView>
  </sheetViews>
  <sheetFormatPr defaultColWidth="8.6640625" defaultRowHeight="15" customHeight="1" x14ac:dyDescent="0.3"/>
  <cols>
    <col min="2" max="2" width="93.44140625" customWidth="1"/>
    <col min="3" max="3" width="13.5546875" customWidth="1"/>
    <col min="4" max="4" width="9.5546875" customWidth="1"/>
    <col min="5" max="5" width="11.44140625" customWidth="1"/>
    <col min="6" max="6" width="16.6640625" customWidth="1"/>
    <col min="7" max="7" width="10.6640625" customWidth="1"/>
    <col min="8" max="8" width="12.5546875" customWidth="1"/>
    <col min="9" max="9" width="12.109375" customWidth="1"/>
    <col min="10" max="11" width="10.6640625" customWidth="1"/>
    <col min="12" max="12" width="11.5546875" customWidth="1"/>
    <col min="13" max="13" width="10.6640625" customWidth="1"/>
    <col min="14" max="14" width="11.44140625" customWidth="1"/>
    <col min="15" max="15" width="11.5546875" customWidth="1"/>
    <col min="16" max="16" width="7.5546875" customWidth="1"/>
    <col min="17" max="17" width="33.5546875" customWidth="1"/>
  </cols>
  <sheetData>
    <row r="1" spans="1:16" ht="30" customHeight="1" x14ac:dyDescent="0.3">
      <c r="A1" s="13"/>
      <c r="B1" s="14" t="s">
        <v>1072</v>
      </c>
      <c r="C1" s="14"/>
      <c r="D1" s="13"/>
      <c r="E1" s="15" t="s">
        <v>1073</v>
      </c>
      <c r="F1" s="15" t="s">
        <v>1074</v>
      </c>
      <c r="G1" s="15" t="s">
        <v>1075</v>
      </c>
      <c r="H1" s="13"/>
      <c r="I1" s="13"/>
    </row>
    <row r="2" spans="1:16" ht="30" customHeight="1" x14ac:dyDescent="0.3">
      <c r="A2" s="13"/>
      <c r="B2" s="14" t="s">
        <v>1076</v>
      </c>
      <c r="C2" s="14"/>
      <c r="D2" s="13"/>
      <c r="E2" s="16" t="s">
        <v>1077</v>
      </c>
      <c r="F2" s="16">
        <f>A38</f>
        <v>28</v>
      </c>
      <c r="G2" s="16">
        <f>SUM(G3:G4)</f>
        <v>319</v>
      </c>
      <c r="H2" s="13"/>
      <c r="I2" s="13"/>
    </row>
    <row r="3" spans="1:16" ht="30" customHeight="1" x14ac:dyDescent="0.3">
      <c r="A3" s="13"/>
      <c r="B3" s="14" t="s">
        <v>1078</v>
      </c>
      <c r="C3" s="14"/>
      <c r="D3" s="13"/>
      <c r="E3" s="16" t="s">
        <v>1079</v>
      </c>
      <c r="F3" s="17">
        <v>18</v>
      </c>
      <c r="G3" s="16">
        <f>COUNTIFS('DP və TP'!J:J,"Əsas icraçı",'DP və TP'!$AD:$AD,"&lt;=3")</f>
        <v>159</v>
      </c>
      <c r="H3" s="13"/>
      <c r="I3" s="13"/>
    </row>
    <row r="4" spans="1:16" ht="30" customHeight="1" x14ac:dyDescent="0.3">
      <c r="A4" s="13"/>
      <c r="B4" s="14" t="s">
        <v>1080</v>
      </c>
      <c r="C4" s="14"/>
      <c r="D4" s="13"/>
      <c r="E4" s="16" t="s">
        <v>1081</v>
      </c>
      <c r="F4" s="18">
        <v>19</v>
      </c>
      <c r="G4" s="16">
        <f>COUNTIFS('DP və TP'!J:J,"Digər icraçı",'DP və TP'!$AD:$AD,"&lt;=3")</f>
        <v>160</v>
      </c>
      <c r="H4" s="13"/>
      <c r="I4" s="13"/>
    </row>
    <row r="5" spans="1:16" ht="15" customHeight="1" x14ac:dyDescent="0.3">
      <c r="A5" s="13"/>
      <c r="B5" s="14" t="s">
        <v>1082</v>
      </c>
      <c r="C5" s="14"/>
      <c r="D5" s="13"/>
      <c r="E5" s="13"/>
      <c r="F5" s="13"/>
      <c r="G5" s="13"/>
      <c r="H5" s="13"/>
      <c r="I5" s="13"/>
    </row>
    <row r="8" spans="1:16" ht="15.75" customHeight="1" x14ac:dyDescent="0.3"/>
    <row r="9" spans="1:16" ht="35.25" customHeight="1" x14ac:dyDescent="0.3">
      <c r="A9" s="154" t="s">
        <v>1083</v>
      </c>
      <c r="B9" s="155" t="s">
        <v>1084</v>
      </c>
      <c r="C9" s="158" t="s">
        <v>1085</v>
      </c>
      <c r="D9" s="157" t="s">
        <v>1086</v>
      </c>
      <c r="E9" s="157"/>
      <c r="F9" s="157"/>
      <c r="G9" s="157"/>
      <c r="H9" s="157"/>
      <c r="I9" s="157"/>
      <c r="J9" s="152" t="s">
        <v>1087</v>
      </c>
      <c r="K9" s="152"/>
      <c r="L9" s="152"/>
      <c r="M9" s="152"/>
      <c r="N9" s="152"/>
      <c r="O9" s="152"/>
      <c r="P9" s="152"/>
    </row>
    <row r="10" spans="1:16" ht="61.5" customHeight="1" x14ac:dyDescent="0.3">
      <c r="A10" s="154"/>
      <c r="B10" s="155"/>
      <c r="C10" s="158"/>
      <c r="D10" s="70" t="s">
        <v>43</v>
      </c>
      <c r="E10" s="21" t="s">
        <v>42</v>
      </c>
      <c r="F10" s="21" t="s">
        <v>79</v>
      </c>
      <c r="G10" s="21" t="s">
        <v>185</v>
      </c>
      <c r="H10" s="21" t="s">
        <v>75</v>
      </c>
      <c r="I10" s="21" t="s">
        <v>91</v>
      </c>
      <c r="J10" s="76" t="s">
        <v>43</v>
      </c>
      <c r="K10" s="76" t="s">
        <v>42</v>
      </c>
      <c r="L10" s="76" t="s">
        <v>79</v>
      </c>
      <c r="M10" s="76" t="s">
        <v>185</v>
      </c>
      <c r="N10" s="76" t="s">
        <v>75</v>
      </c>
      <c r="O10" s="76" t="s">
        <v>91</v>
      </c>
      <c r="P10" s="2" t="s">
        <v>1088</v>
      </c>
    </row>
    <row r="11" spans="1:16" ht="36.75" customHeight="1" x14ac:dyDescent="0.3">
      <c r="A11" s="22">
        <v>1</v>
      </c>
      <c r="B11" s="23" t="s">
        <v>278</v>
      </c>
      <c r="C11" s="77">
        <f>COUNTIFS('DP və TP'!$B:$B,B11,'DP və TP'!$AD:$AD,"&lt;=3")</f>
        <v>12</v>
      </c>
      <c r="D11" s="78">
        <f>COUNTIFS('DP və TP'!$B:$B,B11,'DP və TP'!$AA:$AA,"Tam icra",'DP və TP'!$AD:$AD,"&lt;=3")</f>
        <v>6</v>
      </c>
      <c r="E11" s="26">
        <f>COUNTIFS('DP və TP'!$B:$B,B11,
'DP və TP'!$AA:$AA,"Qismən icra",'DP və TP'!$AD:$AD,"&lt;=3")</f>
        <v>0</v>
      </c>
      <c r="F11" s="26">
        <f>COUNTIFS('DP və TP'!$B:$B,B11,
'DP və TP'!$AA:$AA,"İcra müddətinə var",'DP və TP'!$AD:$AD,"&lt;=3")</f>
        <v>6</v>
      </c>
      <c r="G11" s="26">
        <f>COUNTIFS('DP və TP'!$B:$B,B11,
'DP və TP'!$AA:$AA,"Gecikmə",'DP və TP'!$AD:$AD,"&lt;=3")</f>
        <v>0</v>
      </c>
      <c r="H11" s="26">
        <f>COUNTIFS('DP və TP'!$B:$B,B11,
'DP və TP'!$AA:$AA,"İcra olunmayıb",'DP və TP'!$AD:$AD,"&lt;=3")</f>
        <v>0</v>
      </c>
      <c r="I11" s="26">
        <f>COUNTIFS('DP və TP'!$B:$B,B11,
'DP və TP'!$AA:$AA,"İcra olunmayıb, prioritet deyil",'DP və TP'!$AD:$AD,"&lt;=3")</f>
        <v>0</v>
      </c>
      <c r="J11" s="79">
        <f>COUNTIFS('DP və TP'!$B:$B,B11,
'DP və TP'!$K:$K,"Tapşırıqların İcrasına Nəzarət platforması üzrə",
'DP və TP'!$AA:$AA,"Tam icra",'DP və TP'!$AD:$AD,"&lt;=3")</f>
        <v>1</v>
      </c>
      <c r="K11" s="79">
        <f>COUNTIFS('DP və TP'!$B:$B,B11,
'DP və TP'!$K:$K,"Tapşırıqların İcrasına Nəzarət platforması üzrə",
'DP və TP'!$AA:$AA,"Qismən icra",'DP və TP'!$AD:$AD,"&lt;=3")</f>
        <v>0</v>
      </c>
      <c r="L11" s="79">
        <f>COUNTIFS('DP və TP'!$B:$B,B11,
'DP və TP'!$K:$K,"Tapşırıqların İcrasına Nəzarət platforması üzrə",
'DP və TP'!$AA:$AA,"İcra müddətinə var",'DP və TP'!$AD:$AD,"&lt;=3")</f>
        <v>1</v>
      </c>
      <c r="M11" s="79">
        <f>COUNTIFS('DP və TP'!$B:$B,B11,
'DP və TP'!$K:$K,"Tapşırıqların İcrasına Nəzarət platforması üzrə",
'DP və TP'!$AA:$AA,"Gecikmə",'DP və TP'!$AD:$AD,"&lt;=3")</f>
        <v>0</v>
      </c>
      <c r="N11" s="79">
        <f>COUNTIFS('DP və TP'!$B:$B,B11,
'DP və TP'!$K:$K,"Tapşırıqların İcrasına Nəzarət platforması üzrə",
'DP və TP'!$AA:$AA,"İcra olunmayıb",'DP və TP'!$AD:$AD,"&lt;=3")</f>
        <v>0</v>
      </c>
      <c r="O11" s="80">
        <f>COUNTIFS('DP və TP'!$B:$B,B11,
'DP və TP'!$K:$K,"Tapşırıqların İcrasına Nəzarət platforması üzrə",
'DP və TP'!$AA:$AA,"İcra olunmayıb, prioritet deyil",'DP və TP'!$AD:$AD,"&lt;=3")</f>
        <v>0</v>
      </c>
      <c r="P11" s="30">
        <f>SUM(J11:O11)</f>
        <v>2</v>
      </c>
    </row>
    <row r="12" spans="1:16" ht="36.75" customHeight="1" x14ac:dyDescent="0.3">
      <c r="A12" s="22">
        <v>2</v>
      </c>
      <c r="B12" s="23" t="s">
        <v>523</v>
      </c>
      <c r="C12" s="77">
        <f>COUNTIFS('DP və TP'!$B:$B,B12,'DP və TP'!$AD:$AD,"&lt;=3")</f>
        <v>5</v>
      </c>
      <c r="D12" s="81">
        <f>COUNTIFS('DP və TP'!$B:$B,B12,'DP və TP'!$AA:$AA,"Tam icra",'DP və TP'!$AD:$AD,"&lt;=3")</f>
        <v>0</v>
      </c>
      <c r="E12" s="32">
        <f>COUNTIFS('DP və TP'!$B:$B,B12,
'DP və TP'!$AA:$AA,"Qismən icra",'DP və TP'!$AD:$AD,"&lt;=3")</f>
        <v>0</v>
      </c>
      <c r="F12" s="32">
        <f>COUNTIFS('DP və TP'!$B:$B,B12,
'DP və TP'!$AA:$AA,"İcra müddətinə var",'DP və TP'!$AD:$AD,"&lt;=3")</f>
        <v>2</v>
      </c>
      <c r="G12" s="32">
        <f>COUNTIFS('DP və TP'!$B:$B,B12,
'DP və TP'!$AA:$AA,"Gecikmə",'DP və TP'!$AD:$AD,"&lt;=3")</f>
        <v>0</v>
      </c>
      <c r="H12" s="32">
        <f>COUNTIFS('DP və TP'!$B:$B,B12,
'DP və TP'!$AA:$AA,"İcra olunmayıb",'DP və TP'!$AD:$AD,"&lt;=3")</f>
        <v>1</v>
      </c>
      <c r="I12" s="32">
        <f>COUNTIFS('DP və TP'!$B:$B,B12,
'DP və TP'!$AA:$AA,"İcra olunmayıb, prioritet deyil",'DP və TP'!$AD:$AD,"&lt;=3")</f>
        <v>2</v>
      </c>
      <c r="J12" s="33">
        <f>COUNTIFS('DP və TP'!$B:$B,B12,
'DP və TP'!$K:$K,"Tapşırıqların İcrasına Nəzarət platforması üzrə",
'DP və TP'!$AA:$AA,"Tam icra",'DP və TP'!$AD:$AD,"&lt;=3")</f>
        <v>0</v>
      </c>
      <c r="K12" s="33">
        <f>COUNTIFS('DP və TP'!$B:$B,B12,
'DP və TP'!$K:$K,"Tapşırıqların İcrasına Nəzarət platforması üzrə",
'DP və TP'!$AA:$AA,"Qismən icra",'DP və TP'!$AD:$AD,"&lt;=3")</f>
        <v>0</v>
      </c>
      <c r="L12" s="33">
        <f>COUNTIFS('DP və TP'!$B:$B,B12,
'DP və TP'!$K:$K,"Tapşırıqların İcrasına Nəzarət platforması üzrə",
'DP və TP'!$AA:$AA,"İcra müddətinə var",'DP və TP'!$AD:$AD,"&lt;=3")</f>
        <v>1</v>
      </c>
      <c r="M12" s="33">
        <f>COUNTIFS('DP və TP'!$B:$B,B12,
'DP və TP'!$K:$K,"Tapşırıqların İcrasına Nəzarət platforması üzrə",
'DP və TP'!$AA:$AA,"Gecikmə",'DP və TP'!$AD:$AD,"&lt;=3")</f>
        <v>0</v>
      </c>
      <c r="N12" s="33">
        <f>COUNTIFS('DP və TP'!$B:$B,B12,
'DP və TP'!$K:$K,"Tapşırıqların İcrasına Nəzarət platforması üzrə",
'DP və TP'!$AA:$AA,"İcra olunmayıb",'DP və TP'!$AD:$AD,"&lt;=3")</f>
        <v>0</v>
      </c>
      <c r="O12" s="34">
        <f>COUNTIFS('DP və TP'!$B:$B,B12,
'DP və TP'!$K:$K,"Tapşırıqların İcrasına Nəzarət platforması üzrə",
'DP və TP'!$AA:$AA,"İcra olunmayıb, prioritet deyil",'DP və TP'!$AD:$AD,"&lt;=3")</f>
        <v>1</v>
      </c>
      <c r="P12" s="30"/>
    </row>
    <row r="13" spans="1:16" ht="78" customHeight="1" x14ac:dyDescent="0.3">
      <c r="A13" s="22">
        <v>3</v>
      </c>
      <c r="B13" s="23" t="s">
        <v>436</v>
      </c>
      <c r="C13" s="77">
        <f>COUNTIFS('DP və TP'!$B:$B,B13,'DP və TP'!$AD:$AD,"&lt;=3")</f>
        <v>1</v>
      </c>
      <c r="D13" s="81">
        <f>COUNTIFS('DP və TP'!$B:$B,B13,'DP və TP'!$AA:$AA,"Tam icra",'DP və TP'!$AD:$AD,"&lt;=3")</f>
        <v>0</v>
      </c>
      <c r="E13" s="32">
        <f>COUNTIFS('DP və TP'!$B:$B,B13,
'DP və TP'!$AA:$AA,"Qismən icra",'DP və TP'!$AD:$AD,"&lt;=3")</f>
        <v>0</v>
      </c>
      <c r="F13" s="32">
        <f>COUNTIFS('DP və TP'!$B:$B,B13,
'DP və TP'!$AA:$AA,"İcra müddətinə var",'DP və TP'!$AD:$AD,"&lt;=3")</f>
        <v>1</v>
      </c>
      <c r="G13" s="32">
        <f>COUNTIFS('DP və TP'!$B:$B,B13,
'DP və TP'!$AA:$AA,"Gecikmə",'DP və TP'!$AD:$AD,"&lt;=3")</f>
        <v>0</v>
      </c>
      <c r="H13" s="32">
        <f>COUNTIFS('DP və TP'!$B:$B,B13,
'DP və TP'!$AA:$AA,"İcra olunmayıb",'DP və TP'!$AD:$AD,"&lt;=3")</f>
        <v>0</v>
      </c>
      <c r="I13" s="32">
        <f>COUNTIFS('DP və TP'!$B:$B,B13,
'DP və TP'!$AA:$AA,"İcra olunmayıb, prioritet deyil",'DP və TP'!$AD:$AD,"&lt;=3")</f>
        <v>0</v>
      </c>
      <c r="J13" s="33">
        <f>COUNTIFS('DP və TP'!$B:$B,B13,
'DP və TP'!$K:$K,"Tapşırıqların İcrasına Nəzarət platforması üzrə",
'DP və TP'!$AA:$AA,"Tam icra",'DP və TP'!$AD:$AD,"&lt;=3")</f>
        <v>0</v>
      </c>
      <c r="K13" s="33">
        <f>COUNTIFS('DP və TP'!$B:$B,B13,
'DP və TP'!$K:$K,"Tapşırıqların İcrasına Nəzarət platforması üzrə",
'DP və TP'!$AA:$AA,"Qismən icra",'DP və TP'!$AD:$AD,"&lt;=3")</f>
        <v>0</v>
      </c>
      <c r="L13" s="33">
        <f>COUNTIFS('DP və TP'!$B:$B,B13,
'DP və TP'!$K:$K,"Tapşırıqların İcrasına Nəzarət platforması üzrə",
'DP və TP'!$AA:$AA,"İcra müddətinə var",'DP və TP'!$AD:$AD,"&lt;=3")</f>
        <v>1</v>
      </c>
      <c r="M13" s="33">
        <f>COUNTIFS('DP və TP'!$B:$B,B13,
'DP və TP'!$K:$K,"Tapşırıqların İcrasına Nəzarət platforması üzrə",
'DP və TP'!$AA:$AA,"Gecikmə",'DP və TP'!$AD:$AD,"&lt;=3")</f>
        <v>0</v>
      </c>
      <c r="N13" s="33">
        <f>COUNTIFS('DP və TP'!$B:$B,B13,
'DP və TP'!$K:$K,"Tapşırıqların İcrasına Nəzarət platforması üzrə",
'DP və TP'!$AA:$AA,"İcra olunmayıb",'DP və TP'!$AD:$AD,"&lt;=3")</f>
        <v>0</v>
      </c>
      <c r="O13" s="34">
        <f>COUNTIFS('DP və TP'!$B:$B,B13,
'DP və TP'!$K:$K,"Tapşırıqların İcrasına Nəzarət platforması üzrə",
'DP və TP'!$AA:$AA,"İcra olunmayıb, prioritet deyil",'DP və TP'!$AD:$AD,"&lt;=3")</f>
        <v>0</v>
      </c>
      <c r="P13" s="38">
        <f t="shared" ref="P13:P20" si="0">SUM(J13:O13)</f>
        <v>1</v>
      </c>
    </row>
    <row r="14" spans="1:16" ht="50.25" customHeight="1" x14ac:dyDescent="0.3">
      <c r="A14" s="22">
        <v>4</v>
      </c>
      <c r="B14" s="23" t="s">
        <v>309</v>
      </c>
      <c r="C14" s="77">
        <f>COUNTIFS('DP və TP'!$B:$B,B14,'DP və TP'!$AD:$AD,"&lt;=3")</f>
        <v>7</v>
      </c>
      <c r="D14" s="81">
        <f>COUNTIFS('DP və TP'!$B:$B,B14,'DP və TP'!$AA:$AA,"Tam icra",'DP və TP'!$AD:$AD,"&lt;=3")</f>
        <v>0</v>
      </c>
      <c r="E14" s="32">
        <f>COUNTIFS('DP və TP'!$B:$B,B14,
'DP və TP'!$AA:$AA,"Qismən icra",'DP və TP'!$AD:$AD,"&lt;=3")</f>
        <v>1</v>
      </c>
      <c r="F14" s="32">
        <f>COUNTIFS('DP və TP'!$B:$B,B14,
'DP və TP'!$AA:$AA,"İcra müddətinə var",'DP və TP'!$AD:$AD,"&lt;=3")</f>
        <v>3</v>
      </c>
      <c r="G14" s="32">
        <f>COUNTIFS('DP və TP'!$B:$B,B14,
'DP və TP'!$AA:$AA,"Gecikmə",'DP və TP'!$AD:$AD,"&lt;=3")</f>
        <v>2</v>
      </c>
      <c r="H14" s="32">
        <f>COUNTIFS('DP və TP'!$B:$B,B14,
'DP və TP'!$AA:$AA,"İcra olunmayıb",'DP və TP'!$AD:$AD,"&lt;=3")</f>
        <v>0</v>
      </c>
      <c r="I14" s="32">
        <f>COUNTIFS('DP və TP'!$B:$B,B14,
'DP və TP'!$AA:$AA,"İcra olunmayıb, prioritet deyil",'DP və TP'!$AD:$AD,"&lt;=3")</f>
        <v>1</v>
      </c>
      <c r="J14" s="33">
        <f>COUNTIFS('DP və TP'!$B:$B,B14,
'DP və TP'!$K:$K,"Tapşırıqların İcrasına Nəzarət platforması üzrə",
'DP və TP'!$AA:$AA,"Tam icra",'DP və TP'!$AD:$AD,"&lt;=3")</f>
        <v>0</v>
      </c>
      <c r="K14" s="33">
        <f>COUNTIFS('DP və TP'!$B:$B,B14,
'DP və TP'!$K:$K,"Tapşırıqların İcrasına Nəzarət platforması üzrə",
'DP və TP'!$AA:$AA,"Qismən icra",'DP və TP'!$AD:$AD,"&lt;=3")</f>
        <v>0</v>
      </c>
      <c r="L14" s="33">
        <f>COUNTIFS('DP və TP'!$B:$B,B14,
'DP və TP'!$K:$K,"Tapşırıqların İcrasına Nəzarət platforması üzrə",
'DP və TP'!$AA:$AA,"İcra müddətinə var",'DP və TP'!$AD:$AD,"&lt;=3")</f>
        <v>0</v>
      </c>
      <c r="M14" s="33">
        <f>COUNTIFS('DP və TP'!$B:$B,B14,
'DP və TP'!$K:$K,"Tapşırıqların İcrasına Nəzarət platforması üzrə",
'DP və TP'!$AA:$AA,"Gecikmə",'DP və TP'!$AD:$AD,"&lt;=3")</f>
        <v>0</v>
      </c>
      <c r="N14" s="33">
        <f>COUNTIFS('DP və TP'!$B:$B,B14,
'DP və TP'!$K:$K,"Tapşırıqların İcrasına Nəzarət platforması üzrə",
'DP və TP'!$AA:$AA,"İcra olunmayıb",'DP və TP'!$AD:$AD,"&lt;=3")</f>
        <v>0</v>
      </c>
      <c r="O14" s="34">
        <f>COUNTIFS('DP və TP'!$B:$B,B14,
'DP və TP'!$K:$K,"Tapşırıqların İcrasına Nəzarət platforması üzrə",
'DP və TP'!$AA:$AA,"İcra olunmayıb, prioritet deyil",'DP və TP'!$AD:$AD,"&lt;=3")</f>
        <v>0</v>
      </c>
      <c r="P14" s="40">
        <f t="shared" si="0"/>
        <v>0</v>
      </c>
    </row>
    <row r="15" spans="1:16" ht="51" customHeight="1" x14ac:dyDescent="0.3">
      <c r="A15" s="22">
        <v>5</v>
      </c>
      <c r="B15" s="23" t="s">
        <v>146</v>
      </c>
      <c r="C15" s="77">
        <f>COUNTIFS('DP və TP'!$B:$B,B15,'DP və TP'!$AD:$AD,"&lt;=3")</f>
        <v>2</v>
      </c>
      <c r="D15" s="81">
        <f>COUNTIFS('DP və TP'!$B:$B,B15,'DP və TP'!$AA:$AA,"Tam icra",'DP və TP'!$AD:$AD,"&lt;=3")</f>
        <v>1</v>
      </c>
      <c r="E15" s="32">
        <f>COUNTIFS('DP və TP'!$B:$B,B15,
'DP və TP'!$AA:$AA,"Qismən icra",'DP və TP'!$AD:$AD,"&lt;=3")</f>
        <v>0</v>
      </c>
      <c r="F15" s="32">
        <f>COUNTIFS('DP və TP'!$B:$B,B15,
'DP və TP'!$AA:$AA,"İcra müddətinə var",'DP və TP'!$AD:$AD,"&lt;=3")</f>
        <v>0</v>
      </c>
      <c r="G15" s="32">
        <f>COUNTIFS('DP və TP'!$B:$B,B15,
'DP və TP'!$AA:$AA,"Gecikmə",'DP və TP'!$AD:$AD,"&lt;=3")</f>
        <v>0</v>
      </c>
      <c r="H15" s="32">
        <f>COUNTIFS('DP və TP'!$B:$B,B15,
'DP və TP'!$AA:$AA,"İcra olunmayıb",'DP və TP'!$AD:$AD,"&lt;=3")</f>
        <v>0</v>
      </c>
      <c r="I15" s="32">
        <f>COUNTIFS('DP və TP'!$B:$B,B15,
'DP və TP'!$AA:$AA,"İcra olunmayıb, prioritet deyil",'DP və TP'!$AD:$AD,"&lt;=3")</f>
        <v>1</v>
      </c>
      <c r="J15" s="33">
        <f>COUNTIFS('DP və TP'!$B:$B,B15,
'DP və TP'!$K:$K,"Tapşırıqların İcrasına Nəzarət platforması üzrə",
'DP və TP'!$AA:$AA,"Tam icra",'DP və TP'!$AD:$AD,"&lt;=3")</f>
        <v>1</v>
      </c>
      <c r="K15" s="33">
        <f>COUNTIFS('DP və TP'!$B:$B,B15,
'DP və TP'!$K:$K,"Tapşırıqların İcrasına Nəzarət platforması üzrə",
'DP və TP'!$AA:$AA,"Qismən icra",'DP və TP'!$AD:$AD,"&lt;=3")</f>
        <v>0</v>
      </c>
      <c r="L15" s="33">
        <f>COUNTIFS('DP və TP'!$B:$B,B15,
'DP və TP'!$K:$K,"Tapşırıqların İcrasına Nəzarət platforması üzrə",
'DP və TP'!$AA:$AA,"İcra müddətinə var",'DP və TP'!$AD:$AD,"&lt;=3")</f>
        <v>0</v>
      </c>
      <c r="M15" s="33">
        <f>COUNTIFS('DP və TP'!$B:$B,B15,
'DP və TP'!$K:$K,"Tapşırıqların İcrasına Nəzarət platforması üzrə",
'DP və TP'!$AA:$AA,"Gecikmə",'DP və TP'!$AD:$AD,"&lt;=3")</f>
        <v>0</v>
      </c>
      <c r="N15" s="33">
        <f>COUNTIFS('DP və TP'!$B:$B,B15,
'DP və TP'!$K:$K,"Tapşırıqların İcrasına Nəzarət platforması üzrə",
'DP və TP'!$AA:$AA,"İcra olunmayıb",'DP və TP'!$AD:$AD,"&lt;=3")</f>
        <v>0</v>
      </c>
      <c r="O15" s="34">
        <f>COUNTIFS('DP və TP'!$B:$B,B15,
'DP və TP'!$K:$K,"Tapşırıqların İcrasına Nəzarət platforması üzrə",
'DP və TP'!$AA:$AA,"İcra olunmayıb, prioritet deyil",'DP və TP'!$AD:$AD,"&lt;=3")</f>
        <v>0</v>
      </c>
      <c r="P15" s="43">
        <f t="shared" si="0"/>
        <v>1</v>
      </c>
    </row>
    <row r="16" spans="1:16" ht="39" customHeight="1" x14ac:dyDescent="0.3">
      <c r="A16" s="22">
        <v>6</v>
      </c>
      <c r="B16" s="23" t="s">
        <v>442</v>
      </c>
      <c r="C16" s="77">
        <f>COUNTIFS('DP və TP'!$B:$B,B16,'DP və TP'!$AD:$AD,"&lt;=3")</f>
        <v>5</v>
      </c>
      <c r="D16" s="81">
        <f>COUNTIFS('DP və TP'!$B:$B,B16,'DP və TP'!$AA:$AA,"Tam icra",'DP və TP'!$AD:$AD,"&lt;=3")</f>
        <v>0</v>
      </c>
      <c r="E16" s="32">
        <f>COUNTIFS('DP və TP'!$B:$B,B16,
'DP və TP'!$AA:$AA,"Qismən icra",'DP və TP'!$AD:$AD,"&lt;=3")</f>
        <v>0</v>
      </c>
      <c r="F16" s="32">
        <f>COUNTIFS('DP və TP'!$B:$B,B16,
'DP və TP'!$AA:$AA,"İcra müddətinə var",'DP və TP'!$AD:$AD,"&lt;=3")</f>
        <v>2</v>
      </c>
      <c r="G16" s="32">
        <f>COUNTIFS('DP və TP'!$B:$B,B16,
'DP və TP'!$AA:$AA,"Gecikmə",'DP və TP'!$AD:$AD,"&lt;=3")</f>
        <v>2</v>
      </c>
      <c r="H16" s="32">
        <f>COUNTIFS('DP və TP'!$B:$B,B16,
'DP və TP'!$AA:$AA,"İcra olunmayıb",'DP və TP'!$AD:$AD,"&lt;=3")</f>
        <v>0</v>
      </c>
      <c r="I16" s="32">
        <f>COUNTIFS('DP və TP'!$B:$B,B16,
'DP və TP'!$AA:$AA,"İcra olunmayıb, prioritet deyil",'DP və TP'!$AD:$AD,"&lt;=3")</f>
        <v>1</v>
      </c>
      <c r="J16" s="33">
        <f>COUNTIFS('DP və TP'!$B:$B,B16,
'DP və TP'!$K:$K,"Tapşırıqların İcrasına Nəzarət platforması üzrə",
'DP və TP'!$AA:$AA,"Tam icra",'DP və TP'!$AD:$AD,"&lt;=3")</f>
        <v>0</v>
      </c>
      <c r="K16" s="33">
        <f>COUNTIFS('DP və TP'!$B:$B,B16,
'DP və TP'!$K:$K,"Tapşırıqların İcrasına Nəzarət platforması üzrə",
'DP və TP'!$AA:$AA,"Qismən icra",'DP və TP'!$AD:$AD,"&lt;=3")</f>
        <v>0</v>
      </c>
      <c r="L16" s="33">
        <f>COUNTIFS('DP və TP'!$B:$B,B16,
'DP və TP'!$K:$K,"Tapşırıqların İcrasına Nəzarət platforması üzrə",
'DP və TP'!$AA:$AA,"İcra müddətinə var",'DP və TP'!$AD:$AD,"&lt;=3")</f>
        <v>0</v>
      </c>
      <c r="M16" s="33">
        <f>COUNTIFS('DP və TP'!$B:$B,B16,
'DP və TP'!$K:$K,"Tapşırıqların İcrasına Nəzarət platforması üzrə",
'DP və TP'!$AA:$AA,"Gecikmə",'DP və TP'!$AD:$AD,"&lt;=3")</f>
        <v>0</v>
      </c>
      <c r="N16" s="33">
        <f>COUNTIFS('DP və TP'!$B:$B,B16,
'DP və TP'!$K:$K,"Tapşırıqların İcrasına Nəzarət platforması üzrə",
'DP və TP'!$AA:$AA,"İcra olunmayıb",'DP və TP'!$AD:$AD,"&lt;=3")</f>
        <v>0</v>
      </c>
      <c r="O16" s="34">
        <f>COUNTIFS('DP və TP'!$B:$B,B16,
'DP və TP'!$K:$K,"Tapşırıqların İcrasına Nəzarət platforması üzrə",
'DP və TP'!$AA:$AA,"İcra olunmayıb, prioritet deyil",'DP və TP'!$AD:$AD,"&lt;=3")</f>
        <v>0</v>
      </c>
      <c r="P16" s="40">
        <f t="shared" si="0"/>
        <v>0</v>
      </c>
    </row>
    <row r="17" spans="1:16" ht="35.25" customHeight="1" x14ac:dyDescent="0.3">
      <c r="A17" s="22">
        <v>7</v>
      </c>
      <c r="B17" s="23" t="s">
        <v>412</v>
      </c>
      <c r="C17" s="77">
        <f>COUNTIFS('DP və TP'!$B:$B,B17,'DP və TP'!$AD:$AD,"&lt;=3")</f>
        <v>6</v>
      </c>
      <c r="D17" s="81">
        <f>COUNTIFS('DP və TP'!$B:$B,B17,'DP və TP'!$AA:$AA,"Tam icra",'DP və TP'!$AD:$AD,"&lt;=3")</f>
        <v>5</v>
      </c>
      <c r="E17" s="32">
        <f>COUNTIFS('DP və TP'!$B:$B,B17,
'DP və TP'!$AA:$AA,"Qismən icra",'DP və TP'!$AD:$AD,"&lt;=3")</f>
        <v>0</v>
      </c>
      <c r="F17" s="32">
        <f>COUNTIFS('DP və TP'!$B:$B,B17,
'DP və TP'!$AA:$AA,"İcra müddətinə var",'DP və TP'!$AD:$AD,"&lt;=3")</f>
        <v>0</v>
      </c>
      <c r="G17" s="32">
        <f>COUNTIFS('DP və TP'!$B:$B,B17,
'DP və TP'!$AA:$AA,"Gecikmə",'DP və TP'!$AD:$AD,"&lt;=3")</f>
        <v>0</v>
      </c>
      <c r="H17" s="32">
        <f>COUNTIFS('DP və TP'!$B:$B,B17,
'DP və TP'!$AA:$AA,"İcra olunmayıb",'DP və TP'!$AD:$AD,"&lt;=3")</f>
        <v>0</v>
      </c>
      <c r="I17" s="32">
        <f>COUNTIFS('DP və TP'!$B:$B,B17,
'DP və TP'!$AA:$AA,"İcra olunmayıb, prioritet deyil",'DP və TP'!$AD:$AD,"&lt;=3")</f>
        <v>1</v>
      </c>
      <c r="J17" s="33">
        <f>COUNTIFS('DP və TP'!$B:$B,B17,
'DP və TP'!$K:$K,"Tapşırıqların İcrasına Nəzarət platforması üzrə",
'DP və TP'!$AA:$AA,"Tam icra",'DP və TP'!$AD:$AD,"&lt;=3")</f>
        <v>4</v>
      </c>
      <c r="K17" s="33">
        <f>COUNTIFS('DP və TP'!$B:$B,B17,
'DP və TP'!$K:$K,"Tapşırıqların İcrasına Nəzarət platforması üzrə",
'DP və TP'!$AA:$AA,"Qismən icra",'DP və TP'!$AD:$AD,"&lt;=3")</f>
        <v>0</v>
      </c>
      <c r="L17" s="33">
        <f>COUNTIFS('DP və TP'!$B:$B,B17,
'DP və TP'!$K:$K,"Tapşırıqların İcrasına Nəzarət platforması üzrə",
'DP və TP'!$AA:$AA,"İcra müddətinə var",'DP və TP'!$AD:$AD,"&lt;=3")</f>
        <v>0</v>
      </c>
      <c r="M17" s="33">
        <f>COUNTIFS('DP və TP'!$B:$B,B17,
'DP və TP'!$K:$K,"Tapşırıqların İcrasına Nəzarət platforması üzrə",
'DP və TP'!$AA:$AA,"Gecikmə",'DP və TP'!$AD:$AD,"&lt;=3")</f>
        <v>0</v>
      </c>
      <c r="N17" s="33">
        <f>COUNTIFS('DP və TP'!$B:$B,B17,
'DP və TP'!$K:$K,"Tapşırıqların İcrasına Nəzarət platforması üzrə",
'DP və TP'!$AA:$AA,"İcra olunmayıb",'DP və TP'!$AD:$AD,"&lt;=3")</f>
        <v>0</v>
      </c>
      <c r="O17" s="34">
        <f>COUNTIFS('DP və TP'!$B:$B,B17,
'DP və TP'!$K:$K,"Tapşırıqların İcrasına Nəzarət platforması üzrə",
'DP və TP'!$AA:$AA,"İcra olunmayıb, prioritet deyil",'DP və TP'!$AD:$AD,"&lt;=3")</f>
        <v>1</v>
      </c>
      <c r="P17" s="40">
        <f t="shared" si="0"/>
        <v>5</v>
      </c>
    </row>
    <row r="18" spans="1:16" ht="49.5" customHeight="1" x14ac:dyDescent="0.3">
      <c r="A18" s="22">
        <v>8</v>
      </c>
      <c r="B18" s="23" t="s">
        <v>341</v>
      </c>
      <c r="C18" s="77">
        <f>COUNTIFS('DP və TP'!$B:$B,B18,'DP və TP'!$AD:$AD,"&lt;=3")</f>
        <v>1</v>
      </c>
      <c r="D18" s="81">
        <f>COUNTIFS('DP və TP'!$B:$B,B18,'DP və TP'!$AA:$AA,"Tam icra",'DP və TP'!$AD:$AD,"&lt;=3")</f>
        <v>0</v>
      </c>
      <c r="E18" s="32">
        <f>COUNTIFS('DP və TP'!$B:$B,B18,
'DP və TP'!$AA:$AA,"Qismən icra",'DP və TP'!$AD:$AD,"&lt;=3")</f>
        <v>0</v>
      </c>
      <c r="F18" s="32">
        <f>COUNTIFS('DP və TP'!$B:$B,B18,
'DP və TP'!$AA:$AA,"İcra müddətinə var",'DP və TP'!$AD:$AD,"&lt;=3")</f>
        <v>0</v>
      </c>
      <c r="G18" s="32">
        <f>COUNTIFS('DP və TP'!$B:$B,B18,
'DP və TP'!$AA:$AA,"Gecikmə",'DP və TP'!$AD:$AD,"&lt;=3")</f>
        <v>0</v>
      </c>
      <c r="H18" s="32">
        <f>COUNTIFS('DP və TP'!$B:$B,B18,
'DP və TP'!$AA:$AA,"İcra olunmayıb",'DP və TP'!$AD:$AD,"&lt;=3")</f>
        <v>0</v>
      </c>
      <c r="I18" s="32">
        <f>COUNTIFS('DP və TP'!$B:$B,B18,
'DP və TP'!$AA:$AA,"İcra olunmayıb, prioritet deyil",'DP və TP'!$AD:$AD,"&lt;=3")</f>
        <v>1</v>
      </c>
      <c r="J18" s="33">
        <f>COUNTIFS('DP və TP'!$B:$B,B18,
'DP və TP'!$K:$K,"Tapşırıqların İcrasına Nəzarət platforması üzrə",
'DP və TP'!$AA:$AA,"Tam icra",'DP və TP'!$AD:$AD,"&lt;=3")</f>
        <v>0</v>
      </c>
      <c r="K18" s="33">
        <f>COUNTIFS('DP və TP'!$B:$B,B18,
'DP və TP'!$K:$K,"Tapşırıqların İcrasına Nəzarət platforması üzrə",
'DP və TP'!$AA:$AA,"Qismən icra",'DP və TP'!$AD:$AD,"&lt;=3")</f>
        <v>0</v>
      </c>
      <c r="L18" s="33">
        <f>COUNTIFS('DP və TP'!$B:$B,B18,
'DP və TP'!$K:$K,"Tapşırıqların İcrasına Nəzarət platforması üzrə",
'DP və TP'!$AA:$AA,"İcra müddətinə var",'DP və TP'!$AD:$AD,"&lt;=3")</f>
        <v>0</v>
      </c>
      <c r="M18" s="33">
        <f>COUNTIFS('DP və TP'!$B:$B,B18,
'DP və TP'!$K:$K,"Tapşırıqların İcrasına Nəzarət platforması üzrə",
'DP və TP'!$AA:$AA,"Gecikmə",'DP və TP'!$AD:$AD,"&lt;=3")</f>
        <v>0</v>
      </c>
      <c r="N18" s="33">
        <f>COUNTIFS('DP və TP'!$B:$B,B18,
'DP və TP'!$K:$K,"Tapşırıqların İcrasına Nəzarət platforması üzrə",
'DP və TP'!$AA:$AA,"İcra olunmayıb",'DP və TP'!$AD:$AD,"&lt;=3")</f>
        <v>0</v>
      </c>
      <c r="O18" s="34">
        <f>COUNTIFS('DP və TP'!$B:$B,B18,
'DP və TP'!$K:$K,"Tapşırıqların İcrasına Nəzarət platforması üzrə",
'DP və TP'!$AA:$AA,"İcra olunmayıb, prioritet deyil",'DP və TP'!$AD:$AD,"&lt;=3")</f>
        <v>0</v>
      </c>
      <c r="P18" s="40">
        <f t="shared" si="0"/>
        <v>0</v>
      </c>
    </row>
    <row r="19" spans="1:16" ht="36" customHeight="1" x14ac:dyDescent="0.3">
      <c r="A19" s="22">
        <v>9</v>
      </c>
      <c r="B19" s="23" t="s">
        <v>426</v>
      </c>
      <c r="C19" s="77">
        <f>COUNTIFS('DP və TP'!$B:$B,B19,'DP və TP'!$AD:$AD,"&lt;=3")</f>
        <v>3</v>
      </c>
      <c r="D19" s="81">
        <f>COUNTIFS('DP və TP'!$B:$B,B19,'DP və TP'!$AA:$AA,"Tam icra",'DP və TP'!$AD:$AD,"&lt;=3")</f>
        <v>0</v>
      </c>
      <c r="E19" s="32">
        <f>COUNTIFS('DP və TP'!$B:$B,B19,
'DP və TP'!$AA:$AA,"Qismən icra",'DP və TP'!$AD:$AD,"&lt;=3")</f>
        <v>0</v>
      </c>
      <c r="F19" s="32">
        <f>COUNTIFS('DP və TP'!$B:$B,B19,
'DP və TP'!$AA:$AA,"İcra müddətinə var",'DP və TP'!$AD:$AD,"&lt;=3")</f>
        <v>1</v>
      </c>
      <c r="G19" s="32">
        <f>COUNTIFS('DP və TP'!$B:$B,B19,
'DP və TP'!$AA:$AA,"Gecikmə",'DP və TP'!$AD:$AD,"&lt;=3")</f>
        <v>0</v>
      </c>
      <c r="H19" s="32">
        <f>COUNTIFS('DP və TP'!$B:$B,B19,
'DP və TP'!$AA:$AA,"İcra olunmayıb",'DP və TP'!$AD:$AD,"&lt;=3")</f>
        <v>1</v>
      </c>
      <c r="I19" s="32">
        <f>COUNTIFS('DP və TP'!$B:$B,B19,
'DP və TP'!$AA:$AA,"İcra olunmayıb, prioritet deyil",'DP və TP'!$AD:$AD,"&lt;=3")</f>
        <v>1</v>
      </c>
      <c r="J19" s="33">
        <f>COUNTIFS('DP və TP'!$B:$B,B19,
'DP və TP'!$K:$K,"Tapşırıqların İcrasına Nəzarət platforması üzrə",
'DP və TP'!$AA:$AA,"Tam icra",'DP və TP'!$AD:$AD,"&lt;=3")</f>
        <v>0</v>
      </c>
      <c r="K19" s="33">
        <f>COUNTIFS('DP və TP'!$B:$B,B19,
'DP və TP'!$K:$K,"Tapşırıqların İcrasına Nəzarət platforması üzrə",
'DP və TP'!$AA:$AA,"Qismən icra",'DP və TP'!$AD:$AD,"&lt;=3")</f>
        <v>0</v>
      </c>
      <c r="L19" s="33">
        <f>COUNTIFS('DP və TP'!$B:$B,B19,
'DP və TP'!$K:$K,"Tapşırıqların İcrasına Nəzarət platforması üzrə",
'DP və TP'!$AA:$AA,"İcra müddətinə var",'DP və TP'!$AD:$AD,"&lt;=3")</f>
        <v>1</v>
      </c>
      <c r="M19" s="33">
        <f>COUNTIFS('DP və TP'!$B:$B,B19,
'DP və TP'!$K:$K,"Tapşırıqların İcrasına Nəzarət platforması üzrə",
'DP və TP'!$AA:$AA,"Gecikmə",'DP və TP'!$AD:$AD,"&lt;=3")</f>
        <v>0</v>
      </c>
      <c r="N19" s="33">
        <f>COUNTIFS('DP və TP'!$B:$B,B19,
'DP və TP'!$K:$K,"Tapşırıqların İcrasına Nəzarət platforması üzrə",
'DP və TP'!$AA:$AA,"İcra olunmayıb",'DP və TP'!$AD:$AD,"&lt;=3")</f>
        <v>1</v>
      </c>
      <c r="O19" s="34">
        <f>COUNTIFS('DP və TP'!$B:$B,B19,
'DP və TP'!$K:$K,"Tapşırıqların İcrasına Nəzarət platforması üzrə",
'DP və TP'!$AA:$AA,"İcra olunmayıb, prioritet deyil",'DP və TP'!$AD:$AD,"&lt;=3")</f>
        <v>0</v>
      </c>
      <c r="P19" s="43">
        <f t="shared" si="0"/>
        <v>2</v>
      </c>
    </row>
    <row r="20" spans="1:16" ht="34.5" customHeight="1" x14ac:dyDescent="0.3">
      <c r="A20" s="22">
        <v>10</v>
      </c>
      <c r="B20" s="23" t="s">
        <v>398</v>
      </c>
      <c r="C20" s="77">
        <f>COUNTIFS('DP və TP'!$B:$B,B20,'DP və TP'!$AD:$AD,"&lt;=3")</f>
        <v>6</v>
      </c>
      <c r="D20" s="81">
        <f>COUNTIFS('DP və TP'!$B:$B,B20,'DP və TP'!$AA:$AA,"Tam icra",'DP və TP'!$AD:$AD,"&lt;=3")</f>
        <v>0</v>
      </c>
      <c r="E20" s="32">
        <f>COUNTIFS('DP və TP'!$B:$B,B20,
'DP və TP'!$AA:$AA,"Qismən icra",'DP və TP'!$AD:$AD,"&lt;=3")</f>
        <v>0</v>
      </c>
      <c r="F20" s="32">
        <f>COUNTIFS('DP və TP'!$B:$B,B20,
'DP və TP'!$AA:$AA,"İcra müddətinə var",'DP və TP'!$AD:$AD,"&lt;=3")</f>
        <v>2</v>
      </c>
      <c r="G20" s="32">
        <f>COUNTIFS('DP və TP'!$B:$B,B20,
'DP və TP'!$AA:$AA,"Gecikmə",'DP və TP'!$AD:$AD,"&lt;=3")</f>
        <v>1</v>
      </c>
      <c r="H20" s="32">
        <f>COUNTIFS('DP və TP'!$B:$B,B20,
'DP və TP'!$AA:$AA,"İcra olunmayıb",'DP və TP'!$AD:$AD,"&lt;=3")</f>
        <v>0</v>
      </c>
      <c r="I20" s="32">
        <f>COUNTIFS('DP və TP'!$B:$B,B20,
'DP və TP'!$AA:$AA,"İcra olunmayıb, prioritet deyil",'DP və TP'!$AD:$AD,"&lt;=3")</f>
        <v>3</v>
      </c>
      <c r="J20" s="33">
        <f>COUNTIFS('DP və TP'!$B:$B,B20,
'DP və TP'!$K:$K,"Tapşırıqların İcrasına Nəzarət platforması üzrə",
'DP və TP'!$AA:$AA,"Tam icra",'DP və TP'!$AD:$AD,"&lt;=3")</f>
        <v>0</v>
      </c>
      <c r="K20" s="33">
        <f>COUNTIFS('DP və TP'!$B:$B,B20,
'DP və TP'!$K:$K,"Tapşırıqların İcrasına Nəzarət platforması üzrə",
'DP və TP'!$AA:$AA,"Qismən icra",'DP və TP'!$AD:$AD,"&lt;=3")</f>
        <v>0</v>
      </c>
      <c r="L20" s="33">
        <f>COUNTIFS('DP və TP'!$B:$B,B20,
'DP və TP'!$K:$K,"Tapşırıqların İcrasına Nəzarət platforması üzrə",
'DP və TP'!$AA:$AA,"İcra müddətinə var",'DP və TP'!$AD:$AD,"&lt;=3")</f>
        <v>2</v>
      </c>
      <c r="M20" s="33">
        <f>COUNTIFS('DP və TP'!$B:$B,B20,
'DP və TP'!$K:$K,"Tapşırıqların İcrasına Nəzarət platforması üzrə",
'DP və TP'!$AA:$AA,"Gecikmə",'DP və TP'!$AD:$AD,"&lt;=3")</f>
        <v>1</v>
      </c>
      <c r="N20" s="33">
        <f>COUNTIFS('DP və TP'!$B:$B,B20,
'DP və TP'!$K:$K,"Tapşırıqların İcrasına Nəzarət platforması üzrə",
'DP və TP'!$AA:$AA,"İcra olunmayıb",'DP və TP'!$AD:$AD,"&lt;=3")</f>
        <v>0</v>
      </c>
      <c r="O20" s="34">
        <f>COUNTIFS('DP və TP'!$B:$B,B20,
'DP və TP'!$K:$K,"Tapşırıqların İcrasına Nəzarət platforması üzrə",
'DP və TP'!$AA:$AA,"İcra olunmayıb, prioritet deyil",'DP və TP'!$AD:$AD,"&lt;=3")</f>
        <v>0</v>
      </c>
      <c r="P20" s="30">
        <f t="shared" si="0"/>
        <v>3</v>
      </c>
    </row>
    <row r="21" spans="1:16" ht="39" customHeight="1" x14ac:dyDescent="0.3">
      <c r="A21" s="22">
        <v>11</v>
      </c>
      <c r="B21" s="23" t="s">
        <v>535</v>
      </c>
      <c r="C21" s="77">
        <f>COUNTIFS('DP və TP'!$B:$B,B21,'DP və TP'!$AD:$AD,"&lt;=3")</f>
        <v>3</v>
      </c>
      <c r="D21" s="81">
        <f>COUNTIFS('DP və TP'!$B:$B,B21,'DP və TP'!$AA:$AA,"Tam icra",'DP və TP'!$AD:$AD,"&lt;=3")</f>
        <v>0</v>
      </c>
      <c r="E21" s="32">
        <f>COUNTIFS('DP və TP'!$B:$B,B21,
'DP və TP'!$AA:$AA,"Qismən icra",'DP və TP'!$AD:$AD,"&lt;=3")</f>
        <v>1</v>
      </c>
      <c r="F21" s="32">
        <f>COUNTIFS('DP və TP'!$B:$B,B21,
'DP və TP'!$AA:$AA,"İcra müddətinə var",'DP və TP'!$AD:$AD,"&lt;=3")</f>
        <v>2</v>
      </c>
      <c r="G21" s="32">
        <f>COUNTIFS('DP və TP'!$B:$B,B21,
'DP və TP'!$AA:$AA,"Gecikmə",'DP və TP'!$AD:$AD,"&lt;=3")</f>
        <v>0</v>
      </c>
      <c r="H21" s="32">
        <f>COUNTIFS('DP və TP'!$B:$B,B21,
'DP və TP'!$AA:$AA,"İcra olunmayıb",'DP və TP'!$AD:$AD,"&lt;=3")</f>
        <v>0</v>
      </c>
      <c r="I21" s="32">
        <f>COUNTIFS('DP və TP'!$B:$B,B21,
'DP və TP'!$AA:$AA,"İcra olunmayıb, prioritet deyil",'DP və TP'!$AD:$AD,"&lt;=3")</f>
        <v>0</v>
      </c>
      <c r="J21" s="33">
        <f>COUNTIFS('DP və TP'!$B:$B,B21,
'DP və TP'!$K:$K,"Tapşırıqların İcrasına Nəzarət platforması üzrə",
'DP və TP'!$AA:$AA,"Tam icra",'DP və TP'!$AD:$AD,"&lt;=3")</f>
        <v>0</v>
      </c>
      <c r="K21" s="33">
        <f>COUNTIFS('DP və TP'!$B:$B,B21,
'DP və TP'!$K:$K,"Tapşırıqların İcrasına Nəzarət platforması üzrə",
'DP və TP'!$AA:$AA,"Qismən icra",'DP və TP'!$AD:$AD,"&lt;=3")</f>
        <v>0</v>
      </c>
      <c r="L21" s="33">
        <f>COUNTIFS('DP və TP'!$B:$B,B21,
'DP və TP'!$K:$K,"Tapşırıqların İcrasına Nəzarət platforması üzrə",
'DP və TP'!$AA:$AA,"İcra müddətinə var",'DP və TP'!$AD:$AD,"&lt;=3")</f>
        <v>0</v>
      </c>
      <c r="M21" s="33">
        <f>COUNTIFS('DP və TP'!$B:$B,B21,
'DP və TP'!$K:$K,"Tapşırıqların İcrasına Nəzarət platforması üzrə",
'DP və TP'!$AA:$AA,"Gecikmə",'DP və TP'!$AD:$AD,"&lt;=3")</f>
        <v>0</v>
      </c>
      <c r="N21" s="33">
        <f>COUNTIFS('DP və TP'!$B:$B,B21,
'DP və TP'!$K:$K,"Tapşırıqların İcrasına Nəzarət platforması üzrə",
'DP və TP'!$AA:$AA,"İcra olunmayıb",'DP və TP'!$AD:$AD,"&lt;=3")</f>
        <v>0</v>
      </c>
      <c r="O21" s="34">
        <f>COUNTIFS('DP və TP'!$B:$B,B21,
'DP və TP'!$K:$K,"Tapşırıqların İcrasına Nəzarət platforması üzrə",
'DP və TP'!$AA:$AA,"İcra olunmayıb, prioritet deyil",'DP və TP'!$AD:$AD,"&lt;=3")</f>
        <v>0</v>
      </c>
      <c r="P21" s="30"/>
    </row>
    <row r="22" spans="1:16" ht="39" customHeight="1" x14ac:dyDescent="0.3">
      <c r="A22" s="22">
        <v>12</v>
      </c>
      <c r="B22" s="23" t="s">
        <v>516</v>
      </c>
      <c r="C22" s="77">
        <f>COUNTIFS('DP və TP'!$B:$B,B22,'DP və TP'!$AD:$AD,"&lt;=3")</f>
        <v>4</v>
      </c>
      <c r="D22" s="81">
        <f>COUNTIFS('DP və TP'!$B:$B,B22,'DP və TP'!$AA:$AA,"Tam icra",'DP və TP'!$AD:$AD,"&lt;=3")</f>
        <v>1</v>
      </c>
      <c r="E22" s="32">
        <f>COUNTIFS('DP və TP'!$B:$B,B22,
'DP və TP'!$AA:$AA,"Qismən icra",'DP və TP'!$AD:$AD,"&lt;=3")</f>
        <v>0</v>
      </c>
      <c r="F22" s="32">
        <f>COUNTIFS('DP və TP'!$B:$B,B22,
'DP və TP'!$AA:$AA,"İcra müddətinə var",'DP və TP'!$AD:$AD,"&lt;=3")</f>
        <v>1</v>
      </c>
      <c r="G22" s="32">
        <f>COUNTIFS('DP və TP'!$B:$B,B22,
'DP və TP'!$AA:$AA,"Gecikmə",'DP və TP'!$AD:$AD,"&lt;=3")</f>
        <v>0</v>
      </c>
      <c r="H22" s="32">
        <f>COUNTIFS('DP və TP'!$B:$B,B22,
'DP və TP'!$AA:$AA,"İcra olunmayıb",'DP və TP'!$AD:$AD,"&lt;=3")</f>
        <v>1</v>
      </c>
      <c r="I22" s="32">
        <f>COUNTIFS('DP və TP'!$B:$B,B22,
'DP və TP'!$AA:$AA,"İcra olunmayıb, prioritet deyil",'DP və TP'!$AD:$AD,"&lt;=3")</f>
        <v>1</v>
      </c>
      <c r="J22" s="33">
        <f>COUNTIFS('DP və TP'!$B:$B,B22,
'DP və TP'!$K:$K,"Tapşırıqların İcrasına Nəzarət platforması üzrə",
'DP və TP'!$AA:$AA,"Tam icra",'DP və TP'!$AD:$AD,"&lt;=3")</f>
        <v>0</v>
      </c>
      <c r="K22" s="33">
        <f>COUNTIFS('DP və TP'!$B:$B,B22,
'DP və TP'!$K:$K,"Tapşırıqların İcrasına Nəzarət platforması üzrə",
'DP və TP'!$AA:$AA,"Qismən icra",'DP və TP'!$AD:$AD,"&lt;=3")</f>
        <v>0</v>
      </c>
      <c r="L22" s="33">
        <f>COUNTIFS('DP və TP'!$B:$B,B22,
'DP və TP'!$K:$K,"Tapşırıqların İcrasına Nəzarət platforması üzrə",
'DP və TP'!$AA:$AA,"İcra müddətinə var",'DP və TP'!$AD:$AD,"&lt;=3")</f>
        <v>0</v>
      </c>
      <c r="M22" s="33">
        <f>COUNTIFS('DP və TP'!$B:$B,B22,
'DP və TP'!$K:$K,"Tapşırıqların İcrasına Nəzarət platforması üzrə",
'DP və TP'!$AA:$AA,"Gecikmə",'DP və TP'!$AD:$AD,"&lt;=3")</f>
        <v>0</v>
      </c>
      <c r="N22" s="33">
        <f>COUNTIFS('DP və TP'!$B:$B,B22,
'DP və TP'!$K:$K,"Tapşırıqların İcrasına Nəzarət platforması üzrə",
'DP və TP'!$AA:$AA,"İcra olunmayıb",'DP və TP'!$AD:$AD,"&lt;=3")</f>
        <v>0</v>
      </c>
      <c r="O22" s="34">
        <f>COUNTIFS('DP və TP'!$B:$B,B22,
'DP və TP'!$K:$K,"Tapşırıqların İcrasına Nəzarət platforması üzrə",
'DP və TP'!$AA:$AA,"İcra olunmayıb, prioritet deyil",'DP və TP'!$AD:$AD,"&lt;=3")</f>
        <v>0</v>
      </c>
      <c r="P22" s="30"/>
    </row>
    <row r="23" spans="1:16" ht="22.5" customHeight="1" x14ac:dyDescent="0.3">
      <c r="A23" s="22">
        <v>13</v>
      </c>
      <c r="B23" s="23" t="s">
        <v>429</v>
      </c>
      <c r="C23" s="77">
        <f>COUNTIFS('DP və TP'!$B:$B,B23,'DP və TP'!$AD:$AD,"&lt;=3")</f>
        <v>3</v>
      </c>
      <c r="D23" s="81">
        <f>COUNTIFS('DP və TP'!$B:$B,B23,'DP və TP'!$AA:$AA,"Tam icra",'DP və TP'!$AD:$AD,"&lt;=3")</f>
        <v>1</v>
      </c>
      <c r="E23" s="32">
        <f>COUNTIFS('DP və TP'!$B:$B,B23,
'DP və TP'!$AA:$AA,"Qismən icra",'DP və TP'!$AD:$AD,"&lt;=3")</f>
        <v>0</v>
      </c>
      <c r="F23" s="32">
        <f>COUNTIFS('DP və TP'!$B:$B,B23,
'DP və TP'!$AA:$AA,"İcra müddətinə var",'DP və TP'!$AD:$AD,"&lt;=3")</f>
        <v>1</v>
      </c>
      <c r="G23" s="32">
        <f>COUNTIFS('DP və TP'!$B:$B,B23,
'DP və TP'!$AA:$AA,"Gecikmə",'DP və TP'!$AD:$AD,"&lt;=3")</f>
        <v>1</v>
      </c>
      <c r="H23" s="32">
        <f>COUNTIFS('DP və TP'!$B:$B,B23,
'DP və TP'!$AA:$AA,"İcra olunmayıb",'DP və TP'!$AD:$AD,"&lt;=3")</f>
        <v>0</v>
      </c>
      <c r="I23" s="32">
        <f>COUNTIFS('DP və TP'!$B:$B,B23,
'DP və TP'!$AA:$AA,"İcra olunmayıb, prioritet deyil",'DP və TP'!$AD:$AD,"&lt;=3")</f>
        <v>0</v>
      </c>
      <c r="J23" s="33">
        <f>COUNTIFS('DP və TP'!$B:$B,B23,
'DP və TP'!$K:$K,"Tapşırıqların İcrasına Nəzarət platforması üzrə",
'DP və TP'!$AA:$AA,"Tam icra",'DP və TP'!$AD:$AD,"&lt;=3")</f>
        <v>0</v>
      </c>
      <c r="K23" s="33">
        <f>COUNTIFS('DP və TP'!$B:$B,B23,
'DP və TP'!$K:$K,"Tapşırıqların İcrasına Nəzarət platforması üzrə",
'DP və TP'!$AA:$AA,"Qismən icra",'DP və TP'!$AD:$AD,"&lt;=3")</f>
        <v>0</v>
      </c>
      <c r="L23" s="33">
        <f>COUNTIFS('DP və TP'!$B:$B,B23,
'DP və TP'!$K:$K,"Tapşırıqların İcrasına Nəzarət platforması üzrə",
'DP və TP'!$AA:$AA,"İcra müddətinə var",'DP və TP'!$AD:$AD,"&lt;=3")</f>
        <v>0</v>
      </c>
      <c r="M23" s="33">
        <f>COUNTIFS('DP və TP'!$B:$B,B23,
'DP və TP'!$K:$K,"Tapşırıqların İcrasına Nəzarət platforması üzrə",
'DP və TP'!$AA:$AA,"Gecikmə",'DP və TP'!$AD:$AD,"&lt;=3")</f>
        <v>0</v>
      </c>
      <c r="N23" s="33">
        <f>COUNTIFS('DP və TP'!$B:$B,B23,
'DP və TP'!$K:$K,"Tapşırıqların İcrasına Nəzarət platforması üzrə",
'DP və TP'!$AA:$AA,"İcra olunmayıb",'DP və TP'!$AD:$AD,"&lt;=3")</f>
        <v>0</v>
      </c>
      <c r="O23" s="34">
        <f>COUNTIFS('DP və TP'!$B:$B,B23,
'DP və TP'!$K:$K,"Tapşırıqların İcrasına Nəzarət platforması üzrə",
'DP və TP'!$AA:$AA,"İcra olunmayıb, prioritet deyil",'DP və TP'!$AD:$AD,"&lt;=3")</f>
        <v>0</v>
      </c>
      <c r="P23" s="30">
        <f t="shared" ref="P23:P33" si="1">SUM(J23:O23)</f>
        <v>0</v>
      </c>
    </row>
    <row r="24" spans="1:16" ht="38.25" customHeight="1" x14ac:dyDescent="0.3">
      <c r="A24" s="22">
        <v>14</v>
      </c>
      <c r="B24" s="23" t="s">
        <v>161</v>
      </c>
      <c r="C24" s="77">
        <f>COUNTIFS('DP və TP'!$B:$B,B24,'DP və TP'!$AD:$AD,"&lt;=3")</f>
        <v>16</v>
      </c>
      <c r="D24" s="81">
        <f>COUNTIFS('DP və TP'!$B:$B,B24,'DP və TP'!$AA:$AA,"Tam icra",'DP və TP'!$AD:$AD,"&lt;=3")</f>
        <v>7</v>
      </c>
      <c r="E24" s="32">
        <f>COUNTIFS('DP və TP'!$B:$B,B24,
'DP və TP'!$AA:$AA,"Qismən icra",'DP və TP'!$AD:$AD,"&lt;=3")</f>
        <v>3</v>
      </c>
      <c r="F24" s="32">
        <f>COUNTIFS('DP və TP'!$B:$B,B24,
'DP və TP'!$AA:$AA,"İcra müddətinə var",'DP və TP'!$AD:$AD,"&lt;=3")</f>
        <v>3</v>
      </c>
      <c r="G24" s="32">
        <f>COUNTIFS('DP və TP'!$B:$B,B24,
'DP və TP'!$AA:$AA,"Gecikmə",'DP və TP'!$AD:$AD,"&lt;=3")</f>
        <v>1</v>
      </c>
      <c r="H24" s="32">
        <f>COUNTIFS('DP və TP'!$B:$B,B24,
'DP və TP'!$AA:$AA,"İcra olunmayıb",'DP və TP'!$AD:$AD,"&lt;=3")</f>
        <v>0</v>
      </c>
      <c r="I24" s="32">
        <f>COUNTIFS('DP və TP'!$B:$B,B24,
'DP və TP'!$AA:$AA,"İcra olunmayıb, prioritet deyil",'DP və TP'!$AD:$AD,"&lt;=3")</f>
        <v>2</v>
      </c>
      <c r="J24" s="33">
        <f>COUNTIFS('DP və TP'!$B:$B,B24,
'DP və TP'!$K:$K,"Tapşırıqların İcrasına Nəzarət platforması üzrə",
'DP və TP'!$AA:$AA,"Tam icra",'DP və TP'!$AD:$AD,"&lt;=3")</f>
        <v>3</v>
      </c>
      <c r="K24" s="33">
        <f>COUNTIFS('DP və TP'!$B:$B,B24,
'DP və TP'!$K:$K,"Tapşırıqların İcrasına Nəzarət platforması üzrə",
'DP və TP'!$AA:$AA,"Qismən icra",'DP və TP'!$AD:$AD,"&lt;=3")</f>
        <v>2</v>
      </c>
      <c r="L24" s="33">
        <f>COUNTIFS('DP və TP'!$B:$B,B24,
'DP və TP'!$K:$K,"Tapşırıqların İcrasına Nəzarət platforması üzrə",
'DP və TP'!$AA:$AA,"İcra müddətinə var",'DP və TP'!$AD:$AD,"&lt;=3")</f>
        <v>0</v>
      </c>
      <c r="M24" s="33">
        <f>COUNTIFS('DP və TP'!$B:$B,B24,
'DP və TP'!$K:$K,"Tapşırıqların İcrasına Nəzarət platforması üzrə",
'DP və TP'!$AA:$AA,"Gecikmə",'DP və TP'!$AD:$AD,"&lt;=3")</f>
        <v>1</v>
      </c>
      <c r="N24" s="33">
        <f>COUNTIFS('DP və TP'!$B:$B,B24,
'DP və TP'!$K:$K,"Tapşırıqların İcrasına Nəzarət platforması üzrə",
'DP və TP'!$AA:$AA,"İcra olunmayıb",'DP və TP'!$AD:$AD,"&lt;=3")</f>
        <v>0</v>
      </c>
      <c r="O24" s="34">
        <f>COUNTIFS('DP və TP'!$B:$B,B24,
'DP və TP'!$K:$K,"Tapşırıqların İcrasına Nəzarət platforması üzrə",
'DP və TP'!$AA:$AA,"İcra olunmayıb, prioritet deyil",'DP və TP'!$AD:$AD,"&lt;=3")</f>
        <v>1</v>
      </c>
      <c r="P24" s="43">
        <f t="shared" si="1"/>
        <v>7</v>
      </c>
    </row>
    <row r="25" spans="1:16" ht="36.75" customHeight="1" x14ac:dyDescent="0.3">
      <c r="A25" s="22">
        <v>15</v>
      </c>
      <c r="B25" s="23" t="s">
        <v>509</v>
      </c>
      <c r="C25" s="77">
        <f>COUNTIFS('DP və TP'!$B:$B,B25,'DP və TP'!$AD:$AD,"&lt;=3")</f>
        <v>2</v>
      </c>
      <c r="D25" s="81">
        <f>COUNTIFS('DP və TP'!$B:$B,B25,'DP və TP'!$AA:$AA,"Tam icra",'DP və TP'!$AD:$AD,"&lt;=3")</f>
        <v>0</v>
      </c>
      <c r="E25" s="32">
        <f>COUNTIFS('DP və TP'!$B:$B,B25,
'DP və TP'!$AA:$AA,"Qismən icra",'DP və TP'!$AD:$AD,"&lt;=3")</f>
        <v>0</v>
      </c>
      <c r="F25" s="32">
        <f>COUNTIFS('DP və TP'!$B:$B,B25,
'DP və TP'!$AA:$AA,"İcra müddətinə var",'DP və TP'!$AD:$AD,"&lt;=3")</f>
        <v>1</v>
      </c>
      <c r="G25" s="32">
        <f>COUNTIFS('DP və TP'!$B:$B,B25,
'DP və TP'!$AA:$AA,"Gecikmə",'DP və TP'!$AD:$AD,"&lt;=3")</f>
        <v>0</v>
      </c>
      <c r="H25" s="32">
        <f>COUNTIFS('DP və TP'!$B:$B,B25,
'DP və TP'!$AA:$AA,"İcra olunmayıb",'DP və TP'!$AD:$AD,"&lt;=3")</f>
        <v>0</v>
      </c>
      <c r="I25" s="32">
        <f>COUNTIFS('DP və TP'!$B:$B,B25,
'DP və TP'!$AA:$AA,"İcra olunmayıb, prioritet deyil",'DP və TP'!$AD:$AD,"&lt;=3")</f>
        <v>1</v>
      </c>
      <c r="J25" s="33">
        <f>COUNTIFS('DP və TP'!$B:$B,B25,
'DP və TP'!$K:$K,"Tapşırıqların İcrasına Nəzarət platforması üzrə",
'DP və TP'!$AA:$AA,"Tam icra",'DP və TP'!$AD:$AD,"&lt;=3")</f>
        <v>0</v>
      </c>
      <c r="K25" s="33">
        <f>COUNTIFS('DP və TP'!$B:$B,B25,
'DP və TP'!$K:$K,"Tapşırıqların İcrasına Nəzarət platforması üzrə",
'DP və TP'!$AA:$AA,"Qismən icra",'DP və TP'!$AD:$AD,"&lt;=3")</f>
        <v>0</v>
      </c>
      <c r="L25" s="33">
        <f>COUNTIFS('DP və TP'!$B:$B,B25,
'DP və TP'!$K:$K,"Tapşırıqların İcrasına Nəzarət platforması üzrə",
'DP və TP'!$AA:$AA,"İcra müddətinə var",'DP və TP'!$AD:$AD,"&lt;=3")</f>
        <v>1</v>
      </c>
      <c r="M25" s="33">
        <f>COUNTIFS('DP və TP'!$B:$B,B25,
'DP və TP'!$K:$K,"Tapşırıqların İcrasına Nəzarət platforması üzrə",
'DP və TP'!$AA:$AA,"Gecikmə",'DP və TP'!$AD:$AD,"&lt;=3")</f>
        <v>0</v>
      </c>
      <c r="N25" s="33">
        <f>COUNTIFS('DP və TP'!$B:$B,B25,
'DP və TP'!$K:$K,"Tapşırıqların İcrasına Nəzarət platforması üzrə",
'DP və TP'!$AA:$AA,"İcra olunmayıb",'DP və TP'!$AD:$AD,"&lt;=3")</f>
        <v>0</v>
      </c>
      <c r="O25" s="34">
        <f>COUNTIFS('DP və TP'!$B:$B,B25,
'DP və TP'!$K:$K,"Tapşırıqların İcrasına Nəzarət platforması üzrə",
'DP və TP'!$AA:$AA,"İcra olunmayıb, prioritet deyil",'DP və TP'!$AD:$AD,"&lt;=3")</f>
        <v>1</v>
      </c>
      <c r="P25" s="40">
        <f t="shared" si="1"/>
        <v>2</v>
      </c>
    </row>
    <row r="26" spans="1:16" ht="35.25" customHeight="1" x14ac:dyDescent="0.3">
      <c r="A26" s="22">
        <v>16</v>
      </c>
      <c r="B26" s="23" t="s">
        <v>236</v>
      </c>
      <c r="C26" s="77">
        <f>COUNTIFS('DP və TP'!$B:$B,B26,'DP və TP'!$AD:$AD,"&lt;=3")</f>
        <v>8</v>
      </c>
      <c r="D26" s="81">
        <f>COUNTIFS('DP və TP'!$B:$B,B26,'DP və TP'!$AA:$AA,"Tam icra",'DP və TP'!$AD:$AD,"&lt;=3")</f>
        <v>0</v>
      </c>
      <c r="E26" s="32">
        <f>COUNTIFS('DP və TP'!$B:$B,B26,
'DP və TP'!$AA:$AA,"Qismən icra",'DP və TP'!$AD:$AD,"&lt;=3")</f>
        <v>0</v>
      </c>
      <c r="F26" s="32">
        <f>COUNTIFS('DP və TP'!$B:$B,B26,
'DP və TP'!$AA:$AA,"İcra müddətinə var",'DP və TP'!$AD:$AD,"&lt;=3")</f>
        <v>2</v>
      </c>
      <c r="G26" s="32">
        <f>COUNTIFS('DP və TP'!$B:$B,B26,
'DP və TP'!$AA:$AA,"Gecikmə",'DP və TP'!$AD:$AD,"&lt;=3")</f>
        <v>2</v>
      </c>
      <c r="H26" s="32">
        <f>COUNTIFS('DP və TP'!$B:$B,B26,
'DP və TP'!$AA:$AA,"İcra olunmayıb",'DP və TP'!$AD:$AD,"&lt;=3")</f>
        <v>0</v>
      </c>
      <c r="I26" s="32">
        <f>COUNTIFS('DP və TP'!$B:$B,B26,
'DP və TP'!$AA:$AA,"İcra olunmayıb, prioritet deyil",'DP və TP'!$AD:$AD,"&lt;=3")</f>
        <v>4</v>
      </c>
      <c r="J26" s="33">
        <f>COUNTIFS('DP və TP'!$B:$B,B26,
'DP və TP'!$K:$K,"Tapşırıqların İcrasına Nəzarət platforması üzrə",
'DP və TP'!$AA:$AA,"Tam icra",'DP və TP'!$AD:$AD,"&lt;=3")</f>
        <v>0</v>
      </c>
      <c r="K26" s="33">
        <f>COUNTIFS('DP və TP'!$B:$B,B26,
'DP və TP'!$K:$K,"Tapşırıqların İcrasına Nəzarət platforması üzrə",
'DP və TP'!$AA:$AA,"Qismən icra",'DP və TP'!$AD:$AD,"&lt;=3")</f>
        <v>0</v>
      </c>
      <c r="L26" s="33">
        <f>COUNTIFS('DP və TP'!$B:$B,B26,
'DP və TP'!$K:$K,"Tapşırıqların İcrasına Nəzarət platforması üzrə",
'DP və TP'!$AA:$AA,"İcra müddətinə var",'DP və TP'!$AD:$AD,"&lt;=3")</f>
        <v>0</v>
      </c>
      <c r="M26" s="33">
        <f>COUNTIFS('DP və TP'!$B:$B,B26,
'DP və TP'!$K:$K,"Tapşırıqların İcrasına Nəzarət platforması üzrə",
'DP və TP'!$AA:$AA,"Gecikmə",'DP və TP'!$AD:$AD,"&lt;=3")</f>
        <v>0</v>
      </c>
      <c r="N26" s="33">
        <f>COUNTIFS('DP və TP'!$B:$B,B26,
'DP və TP'!$K:$K,"Tapşırıqların İcrasına Nəzarət platforması üzrə",
'DP və TP'!$AA:$AA,"İcra olunmayıb",'DP və TP'!$AD:$AD,"&lt;=3")</f>
        <v>0</v>
      </c>
      <c r="O26" s="34">
        <f>COUNTIFS('DP və TP'!$B:$B,B26,
'DP və TP'!$K:$K,"Tapşırıqların İcrasına Nəzarət platforması üzrə",
'DP və TP'!$AA:$AA,"İcra olunmayıb, prioritet deyil",'DP və TP'!$AD:$AD,"&lt;=3")</f>
        <v>0</v>
      </c>
      <c r="P26" s="30">
        <f t="shared" si="1"/>
        <v>0</v>
      </c>
    </row>
    <row r="27" spans="1:16" ht="35.25" customHeight="1" x14ac:dyDescent="0.3">
      <c r="A27" s="22">
        <v>17</v>
      </c>
      <c r="B27" s="23" t="s">
        <v>346</v>
      </c>
      <c r="C27" s="77">
        <f>COUNTIFS('DP və TP'!$B:$B,B27,'DP və TP'!$AD:$AD,"&lt;=3")</f>
        <v>12</v>
      </c>
      <c r="D27" s="81">
        <f>COUNTIFS('DP və TP'!$B:$B,B27,'DP və TP'!$AA:$AA,"Tam icra",'DP və TP'!$AD:$AD,"&lt;=3")</f>
        <v>3</v>
      </c>
      <c r="E27" s="32">
        <f>COUNTIFS('DP və TP'!$B:$B,B27,
'DP və TP'!$AA:$AA,"Qismən icra",'DP və TP'!$AD:$AD,"&lt;=3")</f>
        <v>1</v>
      </c>
      <c r="F27" s="32">
        <f>COUNTIFS('DP və TP'!$B:$B,B27,
'DP və TP'!$AA:$AA,"İcra müddətinə var",'DP və TP'!$AD:$AD,"&lt;=3")</f>
        <v>4</v>
      </c>
      <c r="G27" s="32">
        <f>COUNTIFS('DP və TP'!$B:$B,B27,
'DP və TP'!$AA:$AA,"Gecikmə",'DP və TP'!$AD:$AD,"&lt;=3")</f>
        <v>3</v>
      </c>
      <c r="H27" s="32">
        <f>COUNTIFS('DP və TP'!$B:$B,B27,
'DP və TP'!$AA:$AA,"İcra olunmayıb",'DP və TP'!$AD:$AD,"&lt;=3")</f>
        <v>0</v>
      </c>
      <c r="I27" s="32">
        <f>COUNTIFS('DP və TP'!$B:$B,B27,
'DP və TP'!$AA:$AA,"İcra olunmayıb, prioritet deyil",'DP və TP'!$AD:$AD,"&lt;=3")</f>
        <v>1</v>
      </c>
      <c r="J27" s="33">
        <f>COUNTIFS('DP və TP'!$B:$B,B27,
'DP və TP'!$K:$K,"Tapşırıqların İcrasına Nəzarət platforması üzrə",
'DP və TP'!$AA:$AA,"Tam icra",'DP və TP'!$AD:$AD,"&lt;=3")</f>
        <v>1</v>
      </c>
      <c r="K27" s="33">
        <f>COUNTIFS('DP və TP'!$B:$B,B27,
'DP və TP'!$K:$K,"Tapşırıqların İcrasına Nəzarət platforması üzrə",
'DP və TP'!$AA:$AA,"Qismən icra",'DP və TP'!$AD:$AD,"&lt;=3")</f>
        <v>0</v>
      </c>
      <c r="L27" s="33">
        <f>COUNTIFS('DP və TP'!$B:$B,B27,
'DP və TP'!$K:$K,"Tapşırıqların İcrasına Nəzarət platforması üzrə",
'DP və TP'!$AA:$AA,"İcra müddətinə var",'DP və TP'!$AD:$AD,"&lt;=3")</f>
        <v>3</v>
      </c>
      <c r="M27" s="33">
        <f>COUNTIFS('DP və TP'!$B:$B,B27,
'DP və TP'!$K:$K,"Tapşırıqların İcrasına Nəzarət platforması üzrə",
'DP və TP'!$AA:$AA,"Gecikmə",'DP və TP'!$AD:$AD,"&lt;=3")</f>
        <v>3</v>
      </c>
      <c r="N27" s="33">
        <f>COUNTIFS('DP və TP'!$B:$B,B27,
'DP və TP'!$K:$K,"Tapşırıqların İcrasına Nəzarət platforması üzrə",
'DP və TP'!$AA:$AA,"İcra olunmayıb",'DP və TP'!$AD:$AD,"&lt;=3")</f>
        <v>0</v>
      </c>
      <c r="O27" s="34">
        <f>COUNTIFS('DP və TP'!$B:$B,B27,
'DP və TP'!$K:$K,"Tapşırıqların İcrasına Nəzarət platforması üzrə",
'DP və TP'!$AA:$AA,"İcra olunmayıb, prioritet deyil",'DP və TP'!$AD:$AD,"&lt;=3")</f>
        <v>1</v>
      </c>
      <c r="P27" s="40">
        <f t="shared" si="1"/>
        <v>8</v>
      </c>
    </row>
    <row r="28" spans="1:16" ht="46.5" customHeight="1" x14ac:dyDescent="0.3">
      <c r="A28" s="22">
        <v>18</v>
      </c>
      <c r="B28" s="23" t="s">
        <v>30</v>
      </c>
      <c r="C28" s="77">
        <f>COUNTIFS('DP və TP'!$B:$B,B28,'DP və TP'!$AD:$AD,"&lt;=3")</f>
        <v>23</v>
      </c>
      <c r="D28" s="81">
        <f>COUNTIFS('DP və TP'!$B:$B,B28,'DP və TP'!$AA:$AA,"Tam icra",'DP və TP'!$AD:$AD,"&lt;=3")</f>
        <v>12</v>
      </c>
      <c r="E28" s="32">
        <f>COUNTIFS('DP və TP'!$B:$B,B28,
'DP və TP'!$AA:$AA,"Qismən icra",'DP və TP'!$AD:$AD,"&lt;=3")</f>
        <v>6</v>
      </c>
      <c r="F28" s="32">
        <f>COUNTIFS('DP və TP'!$B:$B,B28,
'DP və TP'!$AA:$AA,"İcra müddətinə var",'DP və TP'!$AD:$AD,"&lt;=3")</f>
        <v>1</v>
      </c>
      <c r="G28" s="32">
        <f>COUNTIFS('DP və TP'!$B:$B,B28,
'DP və TP'!$AA:$AA,"Gecikmə",'DP və TP'!$AD:$AD,"&lt;=3")</f>
        <v>0</v>
      </c>
      <c r="H28" s="32">
        <f>COUNTIFS('DP və TP'!$B:$B,B28,
'DP və TP'!$AA:$AA,"İcra olunmayıb",'DP və TP'!$AD:$AD,"&lt;=3")</f>
        <v>2</v>
      </c>
      <c r="I28" s="32">
        <f>COUNTIFS('DP və TP'!$B:$B,B28,
'DP və TP'!$AA:$AA,"İcra olunmayıb, prioritet deyil",'DP və TP'!$AD:$AD,"&lt;=3")</f>
        <v>2</v>
      </c>
      <c r="J28" s="33">
        <f>COUNTIFS('DP və TP'!$B:$B,B28,
'DP və TP'!$K:$K,"Tapşırıqların İcrasına Nəzarət platforması üzrə",
'DP və TP'!$AA:$AA,"Tam icra",'DP və TP'!$AD:$AD,"&lt;=3")</f>
        <v>3</v>
      </c>
      <c r="K28" s="33">
        <f>COUNTIFS('DP və TP'!$B:$B,B28,
'DP və TP'!$K:$K,"Tapşırıqların İcrasına Nəzarət platforması üzrə",
'DP və TP'!$AA:$AA,"Qismən icra",'DP və TP'!$AD:$AD,"&lt;=3")</f>
        <v>0</v>
      </c>
      <c r="L28" s="33">
        <f>COUNTIFS('DP və TP'!$B:$B,B28,
'DP və TP'!$K:$K,"Tapşırıqların İcrasına Nəzarət platforması üzrə",
'DP və TP'!$AA:$AA,"İcra müddətinə var",'DP və TP'!$AD:$AD,"&lt;=3")</f>
        <v>0</v>
      </c>
      <c r="M28" s="33">
        <f>COUNTIFS('DP və TP'!$B:$B,B28,
'DP və TP'!$K:$K,"Tapşırıqların İcrasına Nəzarət platforması üzrə",
'DP və TP'!$AA:$AA,"Gecikmə",'DP və TP'!$AD:$AD,"&lt;=3")</f>
        <v>0</v>
      </c>
      <c r="N28" s="33">
        <f>COUNTIFS('DP və TP'!$B:$B,B28,
'DP və TP'!$K:$K,"Tapşırıqların İcrasına Nəzarət platforması üzrə",
'DP və TP'!$AA:$AA,"İcra olunmayıb",'DP və TP'!$AD:$AD,"&lt;=3")</f>
        <v>0</v>
      </c>
      <c r="O28" s="34">
        <f>COUNTIFS('DP və TP'!$B:$B,B28,
'DP və TP'!$K:$K,"Tapşırıqların İcrasına Nəzarət platforması üzrə",
'DP və TP'!$AA:$AA,"İcra olunmayıb, prioritet deyil",'DP və TP'!$AD:$AD,"&lt;=3")</f>
        <v>0</v>
      </c>
      <c r="P28" s="40">
        <f t="shared" si="1"/>
        <v>3</v>
      </c>
    </row>
    <row r="29" spans="1:16" ht="21" customHeight="1" x14ac:dyDescent="0.3">
      <c r="A29" s="22">
        <v>19</v>
      </c>
      <c r="B29" s="74" t="s">
        <v>456</v>
      </c>
      <c r="C29" s="77">
        <f>COUNTIFS('DP və TP'!$B:$B,B29,'DP və TP'!$AD:$AD,"&lt;=3")</f>
        <v>12</v>
      </c>
      <c r="D29" s="81">
        <f>COUNTIFS('DP və TP'!$B:$B,B29,'DP və TP'!$AA:$AA,"Tam icra",'DP və TP'!$AD:$AD,"&lt;=3")</f>
        <v>1</v>
      </c>
      <c r="E29" s="32">
        <f>COUNTIFS('DP və TP'!$B:$B,B29,
'DP və TP'!$AA:$AA,"Qismən icra",'DP və TP'!$AD:$AD,"&lt;=3")</f>
        <v>0</v>
      </c>
      <c r="F29" s="32">
        <f>COUNTIFS('DP və TP'!$B:$B,B29,
'DP və TP'!$AA:$AA,"İcra müddətinə var",'DP və TP'!$AD:$AD,"&lt;=3")</f>
        <v>7</v>
      </c>
      <c r="G29" s="32">
        <f>COUNTIFS('DP və TP'!$B:$B,B29,
'DP və TP'!$AA:$AA,"Gecikmə",'DP və TP'!$AD:$AD,"&lt;=3")</f>
        <v>1</v>
      </c>
      <c r="H29" s="32">
        <f>COUNTIFS('DP və TP'!$B:$B,B29,
'DP və TP'!$AA:$AA,"İcra olunmayıb",'DP və TP'!$AD:$AD,"&lt;=3")</f>
        <v>0</v>
      </c>
      <c r="I29" s="32">
        <f>COUNTIFS('DP və TP'!$B:$B,B29,
'DP və TP'!$AA:$AA,"İcra olunmayıb, prioritet deyil",'DP və TP'!$AD:$AD,"&lt;=3")</f>
        <v>3</v>
      </c>
      <c r="J29" s="33">
        <f>COUNTIFS('DP və TP'!$B:$B,B29,
'DP və TP'!$K:$K,"Tapşırıqların İcrasına Nəzarət platforması üzrə",
'DP və TP'!$AA:$AA,"Tam icra",'DP və TP'!$AD:$AD,"&lt;=3")</f>
        <v>0</v>
      </c>
      <c r="K29" s="33">
        <f>COUNTIFS('DP və TP'!$B:$B,B29,
'DP və TP'!$K:$K,"Tapşırıqların İcrasına Nəzarət platforması üzrə",
'DP və TP'!$AA:$AA,"Qismən icra",'DP və TP'!$AD:$AD,"&lt;=3")</f>
        <v>0</v>
      </c>
      <c r="L29" s="33">
        <f>COUNTIFS('DP və TP'!$B:$B,B29,
'DP və TP'!$K:$K,"Tapşırıqların İcrasına Nəzarət platforması üzrə",
'DP və TP'!$AA:$AA,"İcra müddətinə var",'DP və TP'!$AD:$AD,"&lt;=3")</f>
        <v>0</v>
      </c>
      <c r="M29" s="33">
        <f>COUNTIFS('DP və TP'!$B:$B,B29,
'DP və TP'!$K:$K,"Tapşırıqların İcrasına Nəzarət platforması üzrə",
'DP və TP'!$AA:$AA,"Gecikmə",'DP və TP'!$AD:$AD,"&lt;=3")</f>
        <v>0</v>
      </c>
      <c r="N29" s="33">
        <f>COUNTIFS('DP və TP'!$B:$B,B29,
'DP və TP'!$K:$K,"Tapşırıqların İcrasına Nəzarət platforması üzrə",
'DP və TP'!$AA:$AA,"İcra olunmayıb",'DP və TP'!$AD:$AD,"&lt;=3")</f>
        <v>0</v>
      </c>
      <c r="O29" s="34">
        <f>COUNTIFS('DP və TP'!$B:$B,B29,
'DP və TP'!$K:$K,"Tapşırıqların İcrasına Nəzarət platforması üzrə",
'DP və TP'!$AA:$AA,"İcra olunmayıb, prioritet deyil",'DP və TP'!$AD:$AD,"&lt;=3")</f>
        <v>0</v>
      </c>
      <c r="P29" s="30">
        <f t="shared" si="1"/>
        <v>0</v>
      </c>
    </row>
    <row r="30" spans="1:16" ht="27" customHeight="1" x14ac:dyDescent="0.3">
      <c r="A30" s="22">
        <v>20</v>
      </c>
      <c r="B30" s="23" t="s">
        <v>139</v>
      </c>
      <c r="C30" s="77">
        <f>COUNTIFS('DP və TP'!$B:$B,B30,'DP və TP'!$AD:$AD,"&lt;=3")</f>
        <v>2</v>
      </c>
      <c r="D30" s="81">
        <f>COUNTIFS('DP və TP'!$B:$B,B30,'DP və TP'!$AA:$AA,"Tam icra",'DP və TP'!$AD:$AD,"&lt;=3")</f>
        <v>1</v>
      </c>
      <c r="E30" s="32">
        <f>COUNTIFS('DP və TP'!$B:$B,B30,
'DP və TP'!$AA:$AA,"Qismən icra",'DP və TP'!$AD:$AD,"&lt;=3")</f>
        <v>0</v>
      </c>
      <c r="F30" s="32">
        <f>COUNTIFS('DP və TP'!$B:$B,B30,
'DP və TP'!$AA:$AA,"İcra müddətinə var",'DP və TP'!$AD:$AD,"&lt;=3")</f>
        <v>1</v>
      </c>
      <c r="G30" s="32">
        <f>COUNTIFS('DP və TP'!$B:$B,B30,
'DP və TP'!$AA:$AA,"Gecikmə",'DP və TP'!$AD:$AD,"&lt;=3")</f>
        <v>0</v>
      </c>
      <c r="H30" s="32">
        <f>COUNTIFS('DP və TP'!$B:$B,B30,
'DP və TP'!$AA:$AA,"İcra olunmayıb",'DP və TP'!$AD:$AD,"&lt;=3")</f>
        <v>0</v>
      </c>
      <c r="I30" s="32">
        <f>COUNTIFS('DP və TP'!$B:$B,B30,
'DP və TP'!$AA:$AA,"İcra olunmayıb, prioritet deyil",'DP və TP'!$AD:$AD,"&lt;=3")</f>
        <v>0</v>
      </c>
      <c r="J30" s="33">
        <f>COUNTIFS('DP və TP'!$B:$B,B30,
'DP və TP'!$K:$K,"Tapşırıqların İcrasına Nəzarət platforması üzrə",
'DP və TP'!$AA:$AA,"Tam icra",'DP və TP'!$AD:$AD,"&lt;=3")</f>
        <v>1</v>
      </c>
      <c r="K30" s="33">
        <f>COUNTIFS('DP və TP'!$B:$B,B30,
'DP və TP'!$K:$K,"Tapşırıqların İcrasına Nəzarət platforması üzrə",
'DP və TP'!$AA:$AA,"Qismən icra",'DP və TP'!$AD:$AD,"&lt;=3")</f>
        <v>0</v>
      </c>
      <c r="L30" s="33">
        <f>COUNTIFS('DP və TP'!$B:$B,B30,
'DP və TP'!$K:$K,"Tapşırıqların İcrasına Nəzarət platforması üzrə",
'DP və TP'!$AA:$AA,"İcra müddətinə var",'DP və TP'!$AD:$AD,"&lt;=3")</f>
        <v>0</v>
      </c>
      <c r="M30" s="33">
        <f>COUNTIFS('DP və TP'!$B:$B,B30,
'DP və TP'!$K:$K,"Tapşırıqların İcrasına Nəzarət platforması üzrə",
'DP və TP'!$AA:$AA,"Gecikmə",'DP və TP'!$AD:$AD,"&lt;=3")</f>
        <v>0</v>
      </c>
      <c r="N30" s="33">
        <f>COUNTIFS('DP və TP'!$B:$B,B30,
'DP və TP'!$K:$K,"Tapşırıqların İcrasına Nəzarət platforması üzrə",
'DP və TP'!$AA:$AA,"İcra olunmayıb",'DP və TP'!$AD:$AD,"&lt;=3")</f>
        <v>0</v>
      </c>
      <c r="O30" s="34">
        <f>COUNTIFS('DP və TP'!$B:$B,B30,
'DP və TP'!$K:$K,"Tapşırıqların İcrasına Nəzarət platforması üzrə",
'DP və TP'!$AA:$AA,"İcra olunmayıb, prioritet deyil",'DP və TP'!$AD:$AD,"&lt;=3")</f>
        <v>0</v>
      </c>
      <c r="P30" s="40">
        <f t="shared" si="1"/>
        <v>1</v>
      </c>
    </row>
    <row r="31" spans="1:16" ht="31.5" customHeight="1" x14ac:dyDescent="0.3">
      <c r="A31" s="22">
        <v>21</v>
      </c>
      <c r="B31" s="23" t="s">
        <v>421</v>
      </c>
      <c r="C31" s="77">
        <f>COUNTIFS('DP və TP'!$B:$B,B31,'DP və TP'!$AD:$AD,"&lt;=3")</f>
        <v>1</v>
      </c>
      <c r="D31" s="81">
        <f>COUNTIFS('DP və TP'!$B:$B,B31,'DP və TP'!$AA:$AA,"Tam icra",'DP və TP'!$AD:$AD,"&lt;=3")</f>
        <v>1</v>
      </c>
      <c r="E31" s="32">
        <f>COUNTIFS('DP və TP'!$B:$B,B31,
'DP və TP'!$AA:$AA,"Qismən icra",'DP və TP'!$AD:$AD,"&lt;=3")</f>
        <v>0</v>
      </c>
      <c r="F31" s="32">
        <f>COUNTIFS('DP və TP'!$B:$B,B31,
'DP və TP'!$AA:$AA,"İcra müddətinə var",'DP və TP'!$AD:$AD,"&lt;=3")</f>
        <v>0</v>
      </c>
      <c r="G31" s="32">
        <f>COUNTIFS('DP və TP'!$B:$B,B31,
'DP və TP'!$AA:$AA,"Gecikmə",'DP və TP'!$AD:$AD,"&lt;=3")</f>
        <v>0</v>
      </c>
      <c r="H31" s="32">
        <f>COUNTIFS('DP və TP'!$B:$B,B31,
'DP və TP'!$AA:$AA,"İcra olunmayıb",'DP və TP'!$AD:$AD,"&lt;=3")</f>
        <v>0</v>
      </c>
      <c r="I31" s="32">
        <f>COUNTIFS('DP və TP'!$B:$B,B31,
'DP və TP'!$AA:$AA,"İcra olunmayıb, prioritet deyil",'DP və TP'!$AD:$AD,"&lt;=3")</f>
        <v>0</v>
      </c>
      <c r="J31" s="33">
        <f>COUNTIFS('DP və TP'!$B:$B,B31,
'DP və TP'!$K:$K,"Tapşırıqların İcrasına Nəzarət platforması üzrə",
'DP və TP'!$AA:$AA,"Tam icra",'DP və TP'!$AD:$AD,"&lt;=3")</f>
        <v>1</v>
      </c>
      <c r="K31" s="33">
        <f>COUNTIFS('DP və TP'!$B:$B,B31,
'DP və TP'!$K:$K,"Tapşırıqların İcrasına Nəzarət platforması üzrə",
'DP və TP'!$AA:$AA,"Qismən icra",'DP və TP'!$AD:$AD,"&lt;=3")</f>
        <v>0</v>
      </c>
      <c r="L31" s="33">
        <f>COUNTIFS('DP və TP'!$B:$B,B31,
'DP və TP'!$K:$K,"Tapşırıqların İcrasına Nəzarət platforması üzrə",
'DP və TP'!$AA:$AA,"İcra müddətinə var",'DP və TP'!$AD:$AD,"&lt;=3")</f>
        <v>0</v>
      </c>
      <c r="M31" s="33">
        <f>COUNTIFS('DP və TP'!$B:$B,B31,
'DP və TP'!$K:$K,"Tapşırıqların İcrasına Nəzarət platforması üzrə",
'DP və TP'!$AA:$AA,"Gecikmə",'DP və TP'!$AD:$AD,"&lt;=3")</f>
        <v>0</v>
      </c>
      <c r="N31" s="33">
        <f>COUNTIFS('DP və TP'!$B:$B,B31,
'DP və TP'!$K:$K,"Tapşırıqların İcrasına Nəzarət platforması üzrə",
'DP və TP'!$AA:$AA,"İcra olunmayıb",'DP və TP'!$AD:$AD,"&lt;=3")</f>
        <v>0</v>
      </c>
      <c r="O31" s="34">
        <f>COUNTIFS('DP və TP'!$B:$B,B31,
'DP və TP'!$K:$K,"Tapşırıqların İcrasına Nəzarət platforması üzrə",
'DP və TP'!$AA:$AA,"İcra olunmayıb, prioritet deyil",'DP və TP'!$AD:$AD,"&lt;=3")</f>
        <v>0</v>
      </c>
      <c r="P31" s="43">
        <f t="shared" si="1"/>
        <v>1</v>
      </c>
    </row>
    <row r="32" spans="1:16" ht="29.25" customHeight="1" x14ac:dyDescent="0.3">
      <c r="A32" s="22">
        <v>22</v>
      </c>
      <c r="B32" s="23" t="s">
        <v>129</v>
      </c>
      <c r="C32" s="77">
        <f>COUNTIFS('DP və TP'!$B:$B,B32,'DP və TP'!$AD:$AD,"&lt;=3")</f>
        <v>4</v>
      </c>
      <c r="D32" s="81">
        <f>COUNTIFS('DP və TP'!$B:$B,B32,'DP və TP'!$AA:$AA,"Tam icra",'DP və TP'!$AD:$AD,"&lt;=3")</f>
        <v>1</v>
      </c>
      <c r="E32" s="32">
        <f>COUNTIFS('DP və TP'!$B:$B,B32,
'DP və TP'!$AA:$AA,"Qismən icra",'DP və TP'!$AD:$AD,"&lt;=3")</f>
        <v>1</v>
      </c>
      <c r="F32" s="32">
        <f>COUNTIFS('DP və TP'!$B:$B,B32,
'DP və TP'!$AA:$AA,"İcra müddətinə var",'DP və TP'!$AD:$AD,"&lt;=3")</f>
        <v>1</v>
      </c>
      <c r="G32" s="32">
        <f>COUNTIFS('DP və TP'!$B:$B,B32,
'DP və TP'!$AA:$AA,"Gecikmə",'DP və TP'!$AD:$AD,"&lt;=3")</f>
        <v>0</v>
      </c>
      <c r="H32" s="32">
        <f>COUNTIFS('DP və TP'!$B:$B,B32,
'DP və TP'!$AA:$AA,"İcra olunmayıb",'DP və TP'!$AD:$AD,"&lt;=3")</f>
        <v>1</v>
      </c>
      <c r="I32" s="32">
        <f>COUNTIFS('DP və TP'!$B:$B,B32,
'DP və TP'!$AA:$AA,"İcra olunmayıb, prioritet deyil",'DP və TP'!$AD:$AD,"&lt;=3")</f>
        <v>0</v>
      </c>
      <c r="J32" s="33">
        <f>COUNTIFS('DP və TP'!$B:$B,B32,
'DP və TP'!$K:$K,"Tapşırıqların İcrasına Nəzarət platforması üzrə",
'DP və TP'!$AA:$AA,"Tam icra",'DP və TP'!$AD:$AD,"&lt;=3")</f>
        <v>0</v>
      </c>
      <c r="K32" s="33">
        <f>COUNTIFS('DP və TP'!$B:$B,B32,
'DP və TP'!$K:$K,"Tapşırıqların İcrasına Nəzarət platforması üzrə",
'DP və TP'!$AA:$AA,"Qismən icra",'DP və TP'!$AD:$AD,"&lt;=3")</f>
        <v>0</v>
      </c>
      <c r="L32" s="33">
        <f>COUNTIFS('DP və TP'!$B:$B,B32,
'DP və TP'!$K:$K,"Tapşırıqların İcrasına Nəzarət platforması üzrə",
'DP və TP'!$AA:$AA,"İcra müddətinə var",'DP və TP'!$AD:$AD,"&lt;=3")</f>
        <v>0</v>
      </c>
      <c r="M32" s="33">
        <f>COUNTIFS('DP və TP'!$B:$B,B32,
'DP və TP'!$K:$K,"Tapşırıqların İcrasına Nəzarət platforması üzrə",
'DP və TP'!$AA:$AA,"Gecikmə",'DP və TP'!$AD:$AD,"&lt;=3")</f>
        <v>0</v>
      </c>
      <c r="N32" s="33">
        <f>COUNTIFS('DP və TP'!$B:$B,B32,
'DP və TP'!$K:$K,"Tapşırıqların İcrasına Nəzarət platforması üzrə",
'DP və TP'!$AA:$AA,"İcra olunmayıb",'DP və TP'!$AD:$AD,"&lt;=3")</f>
        <v>0</v>
      </c>
      <c r="O32" s="34">
        <f>COUNTIFS('DP və TP'!$B:$B,B32,
'DP və TP'!$K:$K,"Tapşırıqların İcrasına Nəzarət platforması üzrə",
'DP və TP'!$AA:$AA,"İcra olunmayıb, prioritet deyil",'DP və TP'!$AD:$AD,"&lt;=3")</f>
        <v>0</v>
      </c>
      <c r="P32" s="40">
        <f t="shared" si="1"/>
        <v>0</v>
      </c>
    </row>
    <row r="33" spans="1:16" ht="21.75" customHeight="1" x14ac:dyDescent="0.3">
      <c r="A33" s="22">
        <v>23</v>
      </c>
      <c r="B33" s="23" t="s">
        <v>544</v>
      </c>
      <c r="C33" s="77">
        <f>COUNTIFS('DP və TP'!$B:$B,B33,'DP və TP'!$AD:$AD,"&lt;=3")</f>
        <v>4</v>
      </c>
      <c r="D33" s="81">
        <f>COUNTIFS('DP və TP'!$B:$B,B33,'DP və TP'!$AA:$AA,"Tam icra",'DP və TP'!$AD:$AD,"&lt;=3")</f>
        <v>0</v>
      </c>
      <c r="E33" s="32">
        <f>COUNTIFS('DP və TP'!$B:$B,B33,
'DP və TP'!$AA:$AA,"Qismən icra",'DP və TP'!$AD:$AD,"&lt;=3")</f>
        <v>1</v>
      </c>
      <c r="F33" s="32">
        <f>COUNTIFS('DP və TP'!$B:$B,B33,
'DP və TP'!$AA:$AA,"İcra müddətinə var",'DP və TP'!$AD:$AD,"&lt;=3")</f>
        <v>2</v>
      </c>
      <c r="G33" s="32">
        <f>COUNTIFS('DP və TP'!$B:$B,B33,
'DP və TP'!$AA:$AA,"Gecikmə",'DP və TP'!$AD:$AD,"&lt;=3")</f>
        <v>0</v>
      </c>
      <c r="H33" s="32">
        <f>COUNTIFS('DP və TP'!$B:$B,B33,
'DP və TP'!$AA:$AA,"İcra olunmayıb",'DP və TP'!$AD:$AD,"&lt;=3")</f>
        <v>0</v>
      </c>
      <c r="I33" s="32">
        <f>COUNTIFS('DP və TP'!$B:$B,B33,
'DP və TP'!$AA:$AA,"İcra olunmayıb, prioritet deyil",'DP və TP'!$AD:$AD,"&lt;=3")</f>
        <v>1</v>
      </c>
      <c r="J33" s="33">
        <f>COUNTIFS('DP və TP'!$B:$B,B33,
'DP və TP'!$K:$K,"Tapşırıqların İcrasına Nəzarət platforması üzrə",
'DP və TP'!$AA:$AA,"Tam icra",'DP və TP'!$AD:$AD,"&lt;=3")</f>
        <v>0</v>
      </c>
      <c r="K33" s="33">
        <f>COUNTIFS('DP və TP'!$B:$B,B33,
'DP və TP'!$K:$K,"Tapşırıqların İcrasına Nəzarət platforması üzrə",
'DP və TP'!$AA:$AA,"Qismən icra",'DP və TP'!$AD:$AD,"&lt;=3")</f>
        <v>0</v>
      </c>
      <c r="L33" s="33">
        <f>COUNTIFS('DP və TP'!$B:$B,B33,
'DP və TP'!$K:$K,"Tapşırıqların İcrasına Nəzarət platforması üzrə",
'DP və TP'!$AA:$AA,"İcra müddətinə var",'DP və TP'!$AD:$AD,"&lt;=3")</f>
        <v>1</v>
      </c>
      <c r="M33" s="33">
        <f>COUNTIFS('DP və TP'!$B:$B,B33,
'DP və TP'!$K:$K,"Tapşırıqların İcrasına Nəzarət platforması üzrə",
'DP və TP'!$AA:$AA,"Gecikmə",'DP və TP'!$AD:$AD,"&lt;=3")</f>
        <v>0</v>
      </c>
      <c r="N33" s="33">
        <f>COUNTIFS('DP və TP'!$B:$B,B33,
'DP və TP'!$K:$K,"Tapşırıqların İcrasına Nəzarət platforması üzrə",
'DP və TP'!$AA:$AA,"İcra olunmayıb",'DP və TP'!$AD:$AD,"&lt;=3")</f>
        <v>0</v>
      </c>
      <c r="O33" s="34">
        <f>COUNTIFS('DP və TP'!$B:$B,B33,
'DP və TP'!$K:$K,"Tapşırıqların İcrasına Nəzarət platforması üzrə",
'DP və TP'!$AA:$AA,"İcra olunmayıb, prioritet deyil",'DP və TP'!$AD:$AD,"&lt;=3")</f>
        <v>1</v>
      </c>
      <c r="P33" s="51">
        <f t="shared" si="1"/>
        <v>2</v>
      </c>
    </row>
    <row r="34" spans="1:16" ht="46.5" customHeight="1" x14ac:dyDescent="0.3">
      <c r="A34" s="22">
        <v>24</v>
      </c>
      <c r="B34" s="52" t="s">
        <v>641</v>
      </c>
      <c r="C34" s="77">
        <f>COUNTIFS('DP və TP'!$B:$B,B34,'DP və TP'!$AD:$AD,"&lt;=3")</f>
        <v>18</v>
      </c>
      <c r="D34" s="81">
        <f>COUNTIFS('DP və TP'!$B:$B,B34,'DP və TP'!$AA:$AA,"Tam icra",'DP və TP'!$AD:$AD,"&lt;=3")</f>
        <v>1</v>
      </c>
      <c r="E34" s="32">
        <f>COUNTIFS('DP və TP'!$B:$B,B34,
'DP və TP'!$AA:$AA,"Qismən icra",'DP və TP'!$AD:$AD,"&lt;=3")</f>
        <v>0</v>
      </c>
      <c r="F34" s="32">
        <f>COUNTIFS('DP və TP'!$B:$B,B34,
'DP və TP'!$AA:$AA,"İcra müddətinə var",'DP və TP'!$AD:$AD,"&lt;=3")</f>
        <v>10</v>
      </c>
      <c r="G34" s="32">
        <f>COUNTIFS('DP və TP'!$B:$B,B34,
'DP və TP'!$AA:$AA,"Gecikmə",'DP və TP'!$AD:$AD,"&lt;=3")</f>
        <v>2</v>
      </c>
      <c r="H34" s="32">
        <f>COUNTIFS('DP və TP'!$B:$B,B34,
'DP və TP'!$AA:$AA,"İcra olunmayıb",'DP və TP'!$AD:$AD,"&lt;=3")</f>
        <v>1</v>
      </c>
      <c r="I34" s="32">
        <f>COUNTIFS('DP və TP'!$B:$B,B34,
'DP və TP'!$AA:$AA,"İcra olunmayıb, prioritet deyil",'DP və TP'!$AD:$AD,"&lt;=3")</f>
        <v>4</v>
      </c>
      <c r="J34" s="33">
        <f>COUNTIFS('DP və TP'!$B:$B,B34,
'DP və TP'!$K:$K,"Tapşırıqların İcrasına Nəzarət platforması üzrə",
'DP və TP'!$AA:$AA,"Tam icra",'DP və TP'!$AD:$AD,"&lt;=3")</f>
        <v>0</v>
      </c>
      <c r="K34" s="33">
        <f>COUNTIFS('DP və TP'!$B:$B,B34,
'DP və TP'!$K:$K,"Tapşırıqların İcrasına Nəzarət platforması üzrə",
'DP və TP'!$AA:$AA,"Qismən icra",'DP və TP'!$AD:$AD,"&lt;=3")</f>
        <v>0</v>
      </c>
      <c r="L34" s="33">
        <f>COUNTIFS('DP və TP'!$B:$B,B34,
'DP və TP'!$K:$K,"Tapşırıqların İcrasına Nəzarət platforması üzrə",
'DP və TP'!$AA:$AA,"İcra müddətinə var",'DP və TP'!$AD:$AD,"&lt;=3")</f>
        <v>1</v>
      </c>
      <c r="M34" s="33">
        <f>COUNTIFS('DP və TP'!$B:$B,B34,
'DP və TP'!$K:$K,"Tapşırıqların İcrasına Nəzarət platforması üzrə",
'DP və TP'!$AA:$AA,"Gecikmə",'DP və TP'!$AD:$AD,"&lt;=3")</f>
        <v>1</v>
      </c>
      <c r="N34" s="33">
        <f>COUNTIFS('DP və TP'!$B:$B,B34,
'DP və TP'!$K:$K,"Tapşırıqların İcrasına Nəzarət platforması üzrə",
'DP və TP'!$AA:$AA,"İcra olunmayıb",'DP və TP'!$AD:$AD,"&lt;=3")</f>
        <v>1</v>
      </c>
      <c r="O34" s="34">
        <f>COUNTIFS('DP və TP'!$B:$B,B34,
'DP və TP'!$K:$K,"Tapşırıqların İcrasına Nəzarət platforması üzrə",
'DP və TP'!$AA:$AA,"İcra olunmayıb, prioritet deyil",'DP və TP'!$AD:$AD,"&lt;=3")</f>
        <v>0</v>
      </c>
      <c r="P34" s="43"/>
    </row>
    <row r="35" spans="1:16" ht="36" customHeight="1" x14ac:dyDescent="0.3">
      <c r="A35" s="22">
        <v>25</v>
      </c>
      <c r="B35" s="52" t="s">
        <v>561</v>
      </c>
      <c r="C35" s="77">
        <f>COUNTIFS('DP və TP'!$B:$B,B35,'DP və TP'!$AD:$AD,"&lt;=3")</f>
        <v>28</v>
      </c>
      <c r="D35" s="81">
        <f>COUNTIFS('DP və TP'!$B:$B,B35,'DP və TP'!$AA:$AA,"Tam icra",'DP və TP'!$AD:$AD,"&lt;=3")</f>
        <v>10</v>
      </c>
      <c r="E35" s="32">
        <f>COUNTIFS('DP və TP'!$B:$B,B35,
'DP və TP'!$AA:$AA,"Qismən icra",'DP və TP'!$AD:$AD,"&lt;=3")</f>
        <v>3</v>
      </c>
      <c r="F35" s="32">
        <f>COUNTIFS('DP və TP'!$B:$B,B35,
'DP və TP'!$AA:$AA,"İcra müddətinə var",'DP və TP'!$AD:$AD,"&lt;=3")</f>
        <v>4</v>
      </c>
      <c r="G35" s="32">
        <f>COUNTIFS('DP və TP'!$B:$B,B35,
'DP və TP'!$AA:$AA,"Gecikmə",'DP və TP'!$AD:$AD,"&lt;=3")</f>
        <v>2</v>
      </c>
      <c r="H35" s="32">
        <f>COUNTIFS('DP və TP'!$B:$B,B35,
'DP və TP'!$AA:$AA,"İcra olunmayıb",'DP və TP'!$AD:$AD,"&lt;=3")</f>
        <v>2</v>
      </c>
      <c r="I35" s="32">
        <f>COUNTIFS('DP və TP'!$B:$B,B35,
'DP və TP'!$AA:$AA,"İcra olunmayıb, prioritet deyil",'DP və TP'!$AD:$AD,"&lt;=3")</f>
        <v>7</v>
      </c>
      <c r="J35" s="33">
        <f>COUNTIFS('DP və TP'!$B:$B,B35,
'DP və TP'!$K:$K,"Tapşırıqların İcrasına Nəzarət platforması üzrə",
'DP və TP'!$AA:$AA,"Tam icra",'DP və TP'!$AD:$AD,"&lt;=3")</f>
        <v>2</v>
      </c>
      <c r="K35" s="33">
        <f>COUNTIFS('DP və TP'!$B:$B,B35,
'DP və TP'!$K:$K,"Tapşırıqların İcrasına Nəzarət platforması üzrə",
'DP və TP'!$AA:$AA,"Qismən icra",'DP və TP'!$AD:$AD,"&lt;=3")</f>
        <v>1</v>
      </c>
      <c r="L35" s="33">
        <f>COUNTIFS('DP və TP'!$B:$B,B35,
'DP və TP'!$K:$K,"Tapşırıqların İcrasına Nəzarət platforması üzrə",
'DP və TP'!$AA:$AA,"İcra müddətinə var",'DP və TP'!$AD:$AD,"&lt;=3")</f>
        <v>1</v>
      </c>
      <c r="M35" s="33">
        <f>COUNTIFS('DP və TP'!$B:$B,B35,
'DP və TP'!$K:$K,"Tapşırıqların İcrasına Nəzarət platforması üzrə",
'DP və TP'!$AA:$AA,"Gecikmə",'DP və TP'!$AD:$AD,"&lt;=3")</f>
        <v>1</v>
      </c>
      <c r="N35" s="33">
        <f>COUNTIFS('DP və TP'!$B:$B,B35,
'DP və TP'!$K:$K,"Tapşırıqların İcrasına Nəzarət platforması üzrə",
'DP və TP'!$AA:$AA,"İcra olunmayıb",'DP və TP'!$AD:$AD,"&lt;=3")</f>
        <v>0</v>
      </c>
      <c r="O35" s="34">
        <f>COUNTIFS('DP və TP'!$B:$B,B35,
'DP və TP'!$K:$K,"Tapşırıqların İcrasına Nəzarət platforması üzrə",
'DP və TP'!$AA:$AA,"İcra olunmayıb, prioritet deyil",'DP və TP'!$AD:$AD,"&lt;=3")</f>
        <v>0</v>
      </c>
      <c r="P35" s="40">
        <f>SUM(J35:O35)</f>
        <v>5</v>
      </c>
    </row>
    <row r="36" spans="1:16" ht="36" customHeight="1" x14ac:dyDescent="0.3">
      <c r="A36" s="22">
        <v>26</v>
      </c>
      <c r="B36" s="52" t="s">
        <v>685</v>
      </c>
      <c r="C36" s="77">
        <f>COUNTIFS('DP və TP'!$B:$B,B36,'DP və TP'!$AD:$AD,"&lt;=3")</f>
        <v>124</v>
      </c>
      <c r="D36" s="81">
        <f>COUNTIFS('DP və TP'!$B:$B,B36,'DP və TP'!$AA:$AA,"Tam icra",'DP və TP'!$AD:$AD,"&lt;=3")</f>
        <v>15</v>
      </c>
      <c r="E36" s="32">
        <f>COUNTIFS('DP və TP'!$B:$B,B36,
'DP və TP'!$AA:$AA,"Qismən icra",'DP və TP'!$AD:$AD,"&lt;=3")</f>
        <v>15</v>
      </c>
      <c r="F36" s="32">
        <f>COUNTIFS('DP və TP'!$B:$B,B36,
'DP və TP'!$AA:$AA,"İcra müddətinə var",'DP və TP'!$AD:$AD,"&lt;=3")</f>
        <v>49</v>
      </c>
      <c r="G36" s="32">
        <f>COUNTIFS('DP və TP'!$B:$B,B36,
'DP və TP'!$AA:$AA,"Gecikmə",'DP və TP'!$AD:$AD,"&lt;=3")</f>
        <v>9</v>
      </c>
      <c r="H36" s="32">
        <f>COUNTIFS('DP və TP'!$B:$B,B36,
'DP və TP'!$AA:$AA,"İcra olunmayıb",'DP və TP'!$AD:$AD,"&lt;=3")</f>
        <v>9</v>
      </c>
      <c r="I36" s="32">
        <f>COUNTIFS('DP və TP'!$B:$B,B36,
'DP və TP'!$AA:$AA,"İcra olunmayıb, prioritet deyil",'DP və TP'!$AD:$AD,"&lt;=3")</f>
        <v>27</v>
      </c>
      <c r="J36" s="33">
        <f>COUNTIFS('DP və TP'!$B:$B,B36,
'DP və TP'!$K:$K,"Tapşırıqların İcrasına Nəzarət platforması üzrə",
'DP və TP'!$AA:$AA,"Tam icra",'DP və TP'!$AD:$AD,"&lt;=3")</f>
        <v>3</v>
      </c>
      <c r="K36" s="33">
        <f>COUNTIFS('DP və TP'!$B:$B,B36,
'DP və TP'!$K:$K,"Tapşırıqların İcrasına Nəzarət platforması üzrə",
'DP və TP'!$AA:$AA,"Qismən icra",'DP və TP'!$AD:$AD,"&lt;=3")</f>
        <v>0</v>
      </c>
      <c r="L36" s="33">
        <f>COUNTIFS('DP və TP'!$B:$B,B36,
'DP və TP'!$K:$K,"Tapşırıqların İcrasına Nəzarət platforması üzrə",
'DP və TP'!$AA:$AA,"İcra müddətinə var",'DP və TP'!$AD:$AD,"&lt;=3")</f>
        <v>2</v>
      </c>
      <c r="M36" s="33">
        <f>COUNTIFS('DP və TP'!$B:$B,B36,
'DP və TP'!$K:$K,"Tapşırıqların İcrasına Nəzarət platforması üzrə",
'DP və TP'!$AA:$AA,"Gecikmə",'DP və TP'!$AD:$AD,"&lt;=3")</f>
        <v>0</v>
      </c>
      <c r="N36" s="33">
        <f>COUNTIFS('DP və TP'!$B:$B,B36,
'DP və TP'!$K:$K,"Tapşırıqların İcrasına Nəzarət platforması üzrə",
'DP və TP'!$AA:$AA,"İcra olunmayıb",'DP və TP'!$AD:$AD,"&lt;=3")</f>
        <v>1</v>
      </c>
      <c r="O36" s="34">
        <f>COUNTIFS('DP və TP'!$B:$B,B36,
'DP və TP'!$K:$K,"Tapşırıqların İcrasına Nəzarət platforması üzrə",
'DP və TP'!$AA:$AA,"İcra olunmayıb, prioritet deyil",'DP və TP'!$AD:$AD,"&lt;=3")</f>
        <v>1</v>
      </c>
      <c r="P36" s="40">
        <f>SUM(J36:O36)</f>
        <v>7</v>
      </c>
    </row>
    <row r="37" spans="1:16" ht="46.5" customHeight="1" x14ac:dyDescent="0.3">
      <c r="A37" s="22">
        <v>27</v>
      </c>
      <c r="B37" s="52" t="s">
        <v>681</v>
      </c>
      <c r="C37" s="77">
        <f>COUNTIFS('DP və TP'!$B:$B,B37,'DP və TP'!$AD:$AD,"&lt;=3")</f>
        <v>3</v>
      </c>
      <c r="D37" s="81">
        <f>COUNTIFS('DP və TP'!$B:$B,B37,'DP və TP'!$AA:$AA,"Tam icra",'DP və TP'!$AD:$AD,"&lt;=3")</f>
        <v>1</v>
      </c>
      <c r="E37" s="32">
        <f>COUNTIFS('DP və TP'!$B:$B,B37,
'DP və TP'!$AA:$AA,"Qismən icra",'DP və TP'!$AD:$AD,"&lt;=3")</f>
        <v>1</v>
      </c>
      <c r="F37" s="32">
        <f>COUNTIFS('DP və TP'!$B:$B,B37,
'DP və TP'!$AA:$AA,"İcra müddətinə var",'DP və TP'!$AD:$AD,"&lt;=3")</f>
        <v>0</v>
      </c>
      <c r="G37" s="32">
        <f>COUNTIFS('DP və TP'!$B:$B,B37,
'DP və TP'!$AA:$AA,"Gecikmə",'DP və TP'!$AD:$AD,"&lt;=3")</f>
        <v>1</v>
      </c>
      <c r="H37" s="32">
        <f>COUNTIFS('DP və TP'!$B:$B,B37,
'DP və TP'!$AA:$AA,"İcra olunmayıb",'DP və TP'!$AD:$AD,"&lt;=3")</f>
        <v>0</v>
      </c>
      <c r="I37" s="32">
        <f>COUNTIFS('DP və TP'!$B:$B,B37,
'DP və TP'!$AA:$AA,"İcra olunmayıb, prioritet deyil",'DP və TP'!$AD:$AD,"&lt;=3")</f>
        <v>0</v>
      </c>
      <c r="J37" s="33">
        <f>COUNTIFS('DP və TP'!$B:$B,B37,
'DP və TP'!$K:$K,"Tapşırıqların İcrasına Nəzarət platforması üzrə",
'DP və TP'!$AA:$AA,"Tam icra",'DP və TP'!$AD:$AD,"&lt;=3")</f>
        <v>0</v>
      </c>
      <c r="K37" s="33">
        <f>COUNTIFS('DP və TP'!$B:$B,B37,
'DP və TP'!$K:$K,"Tapşırıqların İcrasına Nəzarət platforması üzrə",
'DP və TP'!$AA:$AA,"Qismən icra",'DP və TP'!$AD:$AD,"&lt;=3")</f>
        <v>0</v>
      </c>
      <c r="L37" s="33">
        <f>COUNTIFS('DP və TP'!$B:$B,B37,
'DP və TP'!$K:$K,"Tapşırıqların İcrasına Nəzarət platforması üzrə",
'DP və TP'!$AA:$AA,"İcra müddətinə var",'DP və TP'!$AD:$AD,"&lt;=3")</f>
        <v>0</v>
      </c>
      <c r="M37" s="33">
        <f>COUNTIFS('DP və TP'!$B:$B,B37,
'DP və TP'!$K:$K,"Tapşırıqların İcrasına Nəzarət platforması üzrə",
'DP və TP'!$AA:$AA,"Gecikmə",'DP və TP'!$AD:$AD,"&lt;=3")</f>
        <v>0</v>
      </c>
      <c r="N37" s="33">
        <f>COUNTIFS('DP və TP'!$B:$B,B37,
'DP və TP'!$K:$K,"Tapşırıqların İcrasına Nəzarət platforması üzrə",
'DP və TP'!$AA:$AA,"İcra olunmayıb",'DP və TP'!$AD:$AD,"&lt;=3")</f>
        <v>0</v>
      </c>
      <c r="O37" s="34">
        <f>COUNTIFS('DP və TP'!$B:$B,B37,
'DP və TP'!$K:$K,"Tapşırıqların İcrasına Nəzarət platforması üzrə",
'DP və TP'!$AA:$AA,"İcra olunmayıb, prioritet deyil",'DP və TP'!$AD:$AD,"&lt;=3")</f>
        <v>0</v>
      </c>
      <c r="P37" s="40"/>
    </row>
    <row r="38" spans="1:16" ht="60.75" customHeight="1" x14ac:dyDescent="0.3">
      <c r="A38" s="22">
        <v>28</v>
      </c>
      <c r="B38" s="52" t="s">
        <v>550</v>
      </c>
      <c r="C38" s="77">
        <f>COUNTIFS('DP və TP'!$B:$B,B38,'DP və TP'!$AD:$AD,"&lt;=3")</f>
        <v>4</v>
      </c>
      <c r="D38" s="82">
        <f>COUNTIFS('DP və TP'!$B:$B,B38,'DP və TP'!$AA:$AA,"Tam icra",'DP və TP'!$AD:$AD,"&lt;=3")</f>
        <v>1</v>
      </c>
      <c r="E38" s="83">
        <f>COUNTIFS('DP və TP'!$B:$B,B38,
'DP və TP'!$AA:$AA,"Qismən icra",'DP və TP'!$AD:$AD,"&lt;=3")</f>
        <v>1</v>
      </c>
      <c r="F38" s="83">
        <f>COUNTIFS('DP və TP'!$B:$B,B38,
'DP və TP'!$AA:$AA,"İcra müddətinə var",'DP və TP'!$AD:$AD,"&lt;=3")</f>
        <v>0</v>
      </c>
      <c r="G38" s="83">
        <f>COUNTIFS('DP və TP'!$B:$B,B38,
'DP və TP'!$AA:$AA,"Gecikmə",'DP və TP'!$AD:$AD,"&lt;=3")</f>
        <v>0</v>
      </c>
      <c r="H38" s="83">
        <f>COUNTIFS('DP və TP'!$B:$B,B38,
'DP və TP'!$AA:$AA,"İcra olunmayıb",'DP və TP'!$AD:$AD,"&lt;=3")</f>
        <v>2</v>
      </c>
      <c r="I38" s="83">
        <f>COUNTIFS('DP və TP'!$B:$B,B38,
'DP və TP'!$AA:$AA,"İcra olunmayıb, prioritet deyil",'DP və TP'!$AD:$AD,"&lt;=3")</f>
        <v>0</v>
      </c>
      <c r="J38" s="54">
        <f>COUNTIFS('DP və TP'!$B:$B,B38,
'DP və TP'!$K:$K,"Tapşırıqların İcrasına Nəzarət platforması üzrə",
'DP və TP'!$AA:$AA,"Tam icra",'DP və TP'!$AD:$AD,"&lt;=3")</f>
        <v>0</v>
      </c>
      <c r="K38" s="54">
        <f>COUNTIFS('DP və TP'!$B:$B,B38,
'DP və TP'!$K:$K,"Tapşırıqların İcrasına Nəzarət platforması üzrə",
'DP və TP'!$AA:$AA,"Qismən icra",'DP və TP'!$AD:$AD,"&lt;=3")</f>
        <v>1</v>
      </c>
      <c r="L38" s="54">
        <f>COUNTIFS('DP və TP'!$B:$B,B38,
'DP və TP'!$K:$K,"Tapşırıqların İcrasına Nəzarət platforması üzrə",
'DP və TP'!$AA:$AA,"İcra müddətinə var",'DP və TP'!$AD:$AD,"&lt;=3")</f>
        <v>0</v>
      </c>
      <c r="M38" s="54">
        <f>COUNTIFS('DP və TP'!$B:$B,B38,
'DP və TP'!$K:$K,"Tapşırıqların İcrasına Nəzarət platforması üzrə",
'DP və TP'!$AA:$AA,"Gecikmə",'DP və TP'!$AD:$AD,"&lt;=3")</f>
        <v>0</v>
      </c>
      <c r="N38" s="54">
        <f>COUNTIFS('DP və TP'!$B:$B,B38,
'DP və TP'!$K:$K,"Tapşırıqların İcrasına Nəzarət platforması üzrə",
'DP və TP'!$AA:$AA,"İcra olunmayıb",'DP və TP'!$AD:$AD,"&lt;=3")</f>
        <v>0</v>
      </c>
      <c r="O38" s="55">
        <f>COUNTIFS('DP və TP'!$B:$B,B38,
'DP və TP'!$K:$K,"Tapşırıqların İcrasına Nəzarət platforması üzrə",
'DP və TP'!$AA:$AA,"İcra olunmayıb, prioritet deyil",'DP və TP'!$AD:$AD,"&lt;=3")</f>
        <v>0</v>
      </c>
      <c r="P38" s="56">
        <f>SUM(J38:O38)</f>
        <v>1</v>
      </c>
    </row>
    <row r="39" spans="1:16" ht="16.5" customHeight="1" x14ac:dyDescent="0.3">
      <c r="A39" s="153" t="s">
        <v>1088</v>
      </c>
      <c r="B39" s="153"/>
      <c r="C39" s="1">
        <f t="shared" ref="C39:I39" si="2">SUM(C11:C38)</f>
        <v>319</v>
      </c>
      <c r="D39" s="84">
        <f t="shared" si="2"/>
        <v>68</v>
      </c>
      <c r="E39" s="84">
        <f t="shared" si="2"/>
        <v>34</v>
      </c>
      <c r="F39" s="84">
        <f t="shared" si="2"/>
        <v>106</v>
      </c>
      <c r="G39" s="84">
        <f t="shared" si="2"/>
        <v>27</v>
      </c>
      <c r="H39" s="84">
        <f t="shared" si="2"/>
        <v>20</v>
      </c>
      <c r="I39" s="84">
        <f t="shared" si="2"/>
        <v>64</v>
      </c>
      <c r="J39" s="60">
        <f t="shared" ref="J39:P39" si="3">SUM(J11:J33)</f>
        <v>15</v>
      </c>
      <c r="K39" s="60">
        <f t="shared" si="3"/>
        <v>2</v>
      </c>
      <c r="L39" s="60">
        <f t="shared" si="3"/>
        <v>11</v>
      </c>
      <c r="M39" s="60">
        <f t="shared" si="3"/>
        <v>5</v>
      </c>
      <c r="N39" s="60">
        <f t="shared" si="3"/>
        <v>1</v>
      </c>
      <c r="O39" s="60">
        <f t="shared" si="3"/>
        <v>6</v>
      </c>
      <c r="P39" s="40">
        <f t="shared" si="3"/>
        <v>38</v>
      </c>
    </row>
    <row r="40" spans="1:16" ht="15.75" customHeight="1" x14ac:dyDescent="0.3">
      <c r="B40" s="62"/>
      <c r="C40" s="62"/>
    </row>
    <row r="41" spans="1:16" ht="31.5" customHeight="1" x14ac:dyDescent="0.3">
      <c r="B41" s="65"/>
      <c r="C41" s="65"/>
      <c r="D41" s="65"/>
    </row>
    <row r="42" spans="1:16" ht="27" customHeight="1" x14ac:dyDescent="0.3">
      <c r="B42" s="65"/>
      <c r="C42" s="65"/>
      <c r="D42" s="65"/>
    </row>
    <row r="43" spans="1:16" ht="25.5" customHeight="1" x14ac:dyDescent="0.3">
      <c r="B43" s="65"/>
      <c r="C43" s="65"/>
      <c r="D43" s="65"/>
    </row>
    <row r="45" spans="1:16" ht="15" customHeight="1" x14ac:dyDescent="0.3">
      <c r="B45" s="66"/>
      <c r="C45" s="66"/>
    </row>
    <row r="46" spans="1:16" ht="18" customHeight="1" x14ac:dyDescent="0.3">
      <c r="B46" s="66"/>
      <c r="C46" s="66"/>
    </row>
  </sheetData>
  <mergeCells count="6">
    <mergeCell ref="J9:P9"/>
    <mergeCell ref="A39:B39"/>
    <mergeCell ref="A9:A10"/>
    <mergeCell ref="B9:B10"/>
    <mergeCell ref="C9:C10"/>
    <mergeCell ref="D9:I9"/>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6"/>
  <sheetViews>
    <sheetView topLeftCell="A28" zoomScaleNormal="100" workbookViewId="0">
      <selection activeCell="D11" sqref="D11"/>
    </sheetView>
  </sheetViews>
  <sheetFormatPr defaultColWidth="8.6640625" defaultRowHeight="15" customHeight="1" x14ac:dyDescent="0.3"/>
  <cols>
    <col min="2" max="2" width="93.44140625" customWidth="1"/>
    <col min="3" max="3" width="13.5546875" customWidth="1"/>
    <col min="4" max="4" width="9.5546875" customWidth="1"/>
    <col min="5" max="5" width="11.44140625" customWidth="1"/>
    <col min="6" max="6" width="16.6640625" customWidth="1"/>
    <col min="7" max="7" width="10.6640625" customWidth="1"/>
    <col min="8" max="8" width="12.5546875" customWidth="1"/>
    <col min="9" max="9" width="12.109375" customWidth="1"/>
    <col min="10" max="11" width="10.6640625" customWidth="1"/>
    <col min="12" max="12" width="11.5546875" customWidth="1"/>
    <col min="13" max="13" width="10.6640625" customWidth="1"/>
    <col min="14" max="14" width="11.44140625" customWidth="1"/>
    <col min="15" max="15" width="11.5546875" customWidth="1"/>
    <col min="16" max="16" width="7.5546875" customWidth="1"/>
    <col min="17" max="17" width="33.5546875" customWidth="1"/>
  </cols>
  <sheetData>
    <row r="1" spans="1:16" ht="30" customHeight="1" x14ac:dyDescent="0.3">
      <c r="A1" s="13"/>
      <c r="B1" s="14" t="s">
        <v>1072</v>
      </c>
      <c r="C1" s="14"/>
      <c r="D1" s="13"/>
      <c r="E1" s="15" t="s">
        <v>1073</v>
      </c>
      <c r="F1" s="15" t="s">
        <v>1074</v>
      </c>
      <c r="G1" s="15" t="s">
        <v>1075</v>
      </c>
      <c r="H1" s="13"/>
      <c r="I1" s="13"/>
    </row>
    <row r="2" spans="1:16" ht="30" customHeight="1" x14ac:dyDescent="0.3">
      <c r="A2" s="13"/>
      <c r="B2" s="14" t="s">
        <v>1076</v>
      </c>
      <c r="C2" s="14"/>
      <c r="D2" s="13"/>
      <c r="E2" s="16" t="s">
        <v>1077</v>
      </c>
      <c r="F2" s="16">
        <f>A38</f>
        <v>28</v>
      </c>
      <c r="G2" s="16">
        <f>SUM(G3:G4)</f>
        <v>319</v>
      </c>
      <c r="H2" s="13"/>
      <c r="I2" s="13"/>
    </row>
    <row r="3" spans="1:16" ht="30" customHeight="1" x14ac:dyDescent="0.3">
      <c r="A3" s="13"/>
      <c r="B3" s="14" t="s">
        <v>1078</v>
      </c>
      <c r="C3" s="14"/>
      <c r="D3" s="13"/>
      <c r="E3" s="16" t="s">
        <v>1079</v>
      </c>
      <c r="F3" s="17">
        <v>18</v>
      </c>
      <c r="G3" s="16">
        <f>COUNTIFS('DP və TP'!J:J,"Əsas icraçı",'DP və TP'!$AD:$AD,"&lt;=4")</f>
        <v>159</v>
      </c>
      <c r="H3" s="13"/>
      <c r="I3" s="13"/>
    </row>
    <row r="4" spans="1:16" ht="30" customHeight="1" x14ac:dyDescent="0.3">
      <c r="A4" s="13"/>
      <c r="B4" s="14" t="s">
        <v>1080</v>
      </c>
      <c r="C4" s="14"/>
      <c r="D4" s="13"/>
      <c r="E4" s="16" t="s">
        <v>1081</v>
      </c>
      <c r="F4" s="18">
        <v>19</v>
      </c>
      <c r="G4" s="16">
        <f>COUNTIFS('DP və TP'!J:J,"Digər icraçı",'DP və TP'!$AD:$AD,"&lt;=4")</f>
        <v>160</v>
      </c>
      <c r="H4" s="13"/>
      <c r="I4" s="13"/>
    </row>
    <row r="5" spans="1:16" ht="15" customHeight="1" x14ac:dyDescent="0.3">
      <c r="A5" s="13"/>
      <c r="B5" s="14" t="s">
        <v>1082</v>
      </c>
      <c r="C5" s="14"/>
      <c r="D5" s="13"/>
      <c r="E5" s="13"/>
      <c r="F5" s="13"/>
      <c r="G5" s="13"/>
      <c r="H5" s="13"/>
      <c r="I5" s="13"/>
    </row>
    <row r="8" spans="1:16" ht="15.75" customHeight="1" x14ac:dyDescent="0.3"/>
    <row r="9" spans="1:16" ht="35.25" customHeight="1" x14ac:dyDescent="0.3">
      <c r="A9" s="154" t="s">
        <v>1083</v>
      </c>
      <c r="B9" s="155" t="s">
        <v>1084</v>
      </c>
      <c r="C9" s="158" t="s">
        <v>1085</v>
      </c>
      <c r="D9" s="157" t="s">
        <v>1086</v>
      </c>
      <c r="E9" s="157"/>
      <c r="F9" s="157"/>
      <c r="G9" s="157"/>
      <c r="H9" s="157"/>
      <c r="I9" s="157"/>
      <c r="J9" s="152" t="s">
        <v>1087</v>
      </c>
      <c r="K9" s="152"/>
      <c r="L9" s="152"/>
      <c r="M9" s="152"/>
      <c r="N9" s="152"/>
      <c r="O9" s="152"/>
      <c r="P9" s="152"/>
    </row>
    <row r="10" spans="1:16" ht="61.5" customHeight="1" x14ac:dyDescent="0.3">
      <c r="A10" s="154"/>
      <c r="B10" s="155"/>
      <c r="C10" s="158"/>
      <c r="D10" s="70" t="s">
        <v>43</v>
      </c>
      <c r="E10" s="21" t="s">
        <v>42</v>
      </c>
      <c r="F10" s="21" t="s">
        <v>79</v>
      </c>
      <c r="G10" s="21" t="s">
        <v>185</v>
      </c>
      <c r="H10" s="21" t="s">
        <v>75</v>
      </c>
      <c r="I10" s="21" t="s">
        <v>91</v>
      </c>
      <c r="J10" s="76" t="s">
        <v>43</v>
      </c>
      <c r="K10" s="76" t="s">
        <v>42</v>
      </c>
      <c r="L10" s="76" t="s">
        <v>79</v>
      </c>
      <c r="M10" s="76" t="s">
        <v>185</v>
      </c>
      <c r="N10" s="76" t="s">
        <v>75</v>
      </c>
      <c r="O10" s="76" t="s">
        <v>91</v>
      </c>
      <c r="P10" s="2" t="s">
        <v>1088</v>
      </c>
    </row>
    <row r="11" spans="1:16" ht="36.75" customHeight="1" x14ac:dyDescent="0.3">
      <c r="A11" s="22">
        <v>1</v>
      </c>
      <c r="B11" s="23" t="s">
        <v>278</v>
      </c>
      <c r="C11" s="77">
        <f>COUNTIFS('DP və TP'!$B:$B,B11,'DP və TP'!$AD:$AD,"&lt;=4")</f>
        <v>12</v>
      </c>
      <c r="D11" s="78">
        <f>COUNTIFS('DP və TP'!$B:$B,B11,'DP və TP'!$AB:$AB,"Tam icra",'DP və TP'!$AD:$AD,"&lt;=4")</f>
        <v>4</v>
      </c>
      <c r="E11" s="26">
        <f>COUNTIFS('DP və TP'!$B:$B,B11,
'DP və TP'!$AB:$AB,"Qismən icra",'DP və TP'!$AD:$AD,"&lt;=4")</f>
        <v>3</v>
      </c>
      <c r="F11" s="26">
        <f>COUNTIFS('DP və TP'!$B:$B,B11,
'DP və TP'!$AB:$AB,"İcra müddətinə var",'DP və TP'!$AD:$AD,"&lt;=4")</f>
        <v>1</v>
      </c>
      <c r="G11" s="26">
        <f>COUNTIFS('DP və TP'!$B:$B,B11,
'DP və TP'!$AB:$AB,"Gecikmə",'DP və TP'!$AD:$AD,"&lt;=4")</f>
        <v>0</v>
      </c>
      <c r="H11" s="26">
        <f>COUNTIFS('DP və TP'!$B:$B,B11,
'DP və TP'!$AB:$AB,"İcra olunmayıb",'DP və TP'!$AD:$AD,"&lt;=4")</f>
        <v>1</v>
      </c>
      <c r="I11" s="26">
        <f>COUNTIFS('DP və TP'!$B:$B,B11,
'DP və TP'!$AB:$AB,"İcra olunmayıb, prioritet deyil",'DP və TP'!$AD:$AD,"&lt;=4")</f>
        <v>3</v>
      </c>
      <c r="J11" s="79">
        <f>COUNTIFS('DP və TP'!$B:$B,B11,
'DP və TP'!$K:$K,"Tapşırıqların İcrasına Nəzarət platforması üzrə",
'DP və TP'!$AB:$AB,"Tam icra",'DP və TP'!$AD:$AD,"&lt;=4")</f>
        <v>2</v>
      </c>
      <c r="K11" s="79">
        <f>COUNTIFS('DP və TP'!$B:$B,B11,
'DP və TP'!$K:$K,"Tapşırıqların İcrasına Nəzarət platforması üzrə",
'DP və TP'!$AB:$AB,"Qismən icra",'DP və TP'!$AD:$AD,"&lt;=4")</f>
        <v>0</v>
      </c>
      <c r="L11" s="79">
        <f>COUNTIFS('DP və TP'!$B:$B,B11,
'DP və TP'!$K:$K,"Tapşırıqların İcrasına Nəzarət platforması üzrə",
'DP və TP'!$AB:$AB,"İcra müddətinə var",'DP və TP'!$AD:$AD,"&lt;=4")</f>
        <v>0</v>
      </c>
      <c r="M11" s="79">
        <f>COUNTIFS('DP və TP'!$B:$B,B11,
'DP və TP'!$K:$K,"Tapşırıqların İcrasına Nəzarət platforması üzrə",
'DP və TP'!$AB:$AB,"Gecikmə",'DP və TP'!$AD:$AD,"&lt;=4")</f>
        <v>0</v>
      </c>
      <c r="N11" s="79">
        <f>COUNTIFS('DP və TP'!$B:$B,B11,
'DP və TP'!$K:$K,"Tapşırıqların İcrasına Nəzarət platforması üzrə",
'DP və TP'!$AB:$AB,"İcra olunmayıb",'DP və TP'!$AD:$AD,"&lt;=4")</f>
        <v>0</v>
      </c>
      <c r="O11" s="80">
        <f>COUNTIFS('DP və TP'!$B:$B,B11,
'DP və TP'!$K:$K,"Tapşırıqların İcrasına Nəzarət platforması üzrə",
'DP və TP'!$AB:$AB,"İcra olunmayıb, prioritet deyil",'DP və TP'!$AD:$AD,"&lt;=4")</f>
        <v>0</v>
      </c>
      <c r="P11" s="30">
        <f>SUM(J11:O11)</f>
        <v>2</v>
      </c>
    </row>
    <row r="12" spans="1:16" ht="36.75" customHeight="1" x14ac:dyDescent="0.3">
      <c r="A12" s="22">
        <v>2</v>
      </c>
      <c r="B12" s="23" t="s">
        <v>523</v>
      </c>
      <c r="C12" s="77">
        <f>COUNTIFS('DP və TP'!$B:$B,B12,'DP və TP'!$AD:$AD,"&lt;=4")</f>
        <v>5</v>
      </c>
      <c r="D12" s="81">
        <f>COUNTIFS('DP və TP'!$B:$B,B12,'DP və TP'!$AB:$AB,"Tam icra",'DP və TP'!$AD:$AD,"&lt;=4")</f>
        <v>0</v>
      </c>
      <c r="E12" s="32">
        <f>COUNTIFS('DP və TP'!$B:$B,B12,
'DP və TP'!$AB:$AB,"Qismən icra",'DP və TP'!$AD:$AD,"&lt;=4")</f>
        <v>1</v>
      </c>
      <c r="F12" s="32">
        <f>COUNTIFS('DP və TP'!$B:$B,B12,
'DP və TP'!$AB:$AB,"İcra müddətinə var",'DP və TP'!$AD:$AD,"&lt;=4")</f>
        <v>3</v>
      </c>
      <c r="G12" s="32">
        <f>COUNTIFS('DP və TP'!$B:$B,B12,
'DP və TP'!$AB:$AB,"Gecikmə",'DP və TP'!$AD:$AD,"&lt;=4")</f>
        <v>0</v>
      </c>
      <c r="H12" s="32">
        <f>COUNTIFS('DP və TP'!$B:$B,B12,
'DP və TP'!$AB:$AB,"İcra olunmayıb",'DP və TP'!$AD:$AD,"&lt;=4")</f>
        <v>0</v>
      </c>
      <c r="I12" s="32">
        <f>COUNTIFS('DP və TP'!$B:$B,B12,
'DP və TP'!$AB:$AB,"İcra olunmayıb, prioritet deyil",'DP və TP'!$AD:$AD,"&lt;=4")</f>
        <v>1</v>
      </c>
      <c r="J12" s="33">
        <f>COUNTIFS('DP və TP'!$B:$B,B12,
'DP və TP'!$K:$K,"Tapşırıqların İcrasına Nəzarət platforması üzrə",
'DP və TP'!$AB:$AB,"Tam icra",'DP və TP'!$AD:$AD,"&lt;=4")</f>
        <v>0</v>
      </c>
      <c r="K12" s="33">
        <f>COUNTIFS('DP və TP'!$B:$B,B12,
'DP və TP'!$K:$K,"Tapşırıqların İcrasına Nəzarət platforması üzrə",
'DP və TP'!$AB:$AB,"Qismən icra",'DP və TP'!$AD:$AD,"&lt;=4")</f>
        <v>1</v>
      </c>
      <c r="L12" s="33">
        <f>COUNTIFS('DP və TP'!$B:$B,B12,
'DP və TP'!$K:$K,"Tapşırıqların İcrasına Nəzarət platforması üzrə",
'DP və TP'!$AB:$AB,"İcra müddətinə var",'DP və TP'!$AD:$AD,"&lt;=4")</f>
        <v>1</v>
      </c>
      <c r="M12" s="33">
        <f>COUNTIFS('DP və TP'!$B:$B,B12,
'DP və TP'!$K:$K,"Tapşırıqların İcrasına Nəzarət platforması üzrə",
'DP və TP'!$AB:$AB,"Gecikmə",'DP və TP'!$AD:$AD,"&lt;=4")</f>
        <v>0</v>
      </c>
      <c r="N12" s="33">
        <f>COUNTIFS('DP və TP'!$B:$B,B12,
'DP və TP'!$K:$K,"Tapşırıqların İcrasına Nəzarət platforması üzrə",
'DP və TP'!$AB:$AB,"İcra olunmayıb",'DP və TP'!$AD:$AD,"&lt;=4")</f>
        <v>0</v>
      </c>
      <c r="O12" s="34">
        <f>COUNTIFS('DP və TP'!$B:$B,B12,
'DP və TP'!$K:$K,"Tapşırıqların İcrasına Nəzarət platforması üzrə",
'DP və TP'!$AB:$AB,"İcra olunmayıb, prioritet deyil",'DP və TP'!$AD:$AD,"&lt;=4")</f>
        <v>0</v>
      </c>
      <c r="P12" s="30"/>
    </row>
    <row r="13" spans="1:16" ht="78" customHeight="1" x14ac:dyDescent="0.3">
      <c r="A13" s="22">
        <v>3</v>
      </c>
      <c r="B13" s="23" t="s">
        <v>436</v>
      </c>
      <c r="C13" s="77">
        <f>COUNTIFS('DP və TP'!$B:$B,B13,'DP və TP'!$AD:$AD,"&lt;=4")</f>
        <v>1</v>
      </c>
      <c r="D13" s="81">
        <f>COUNTIFS('DP və TP'!$B:$B,B13,'DP və TP'!$AB:$AB,"Tam icra",'DP və TP'!$AD:$AD,"&lt;=4")</f>
        <v>0</v>
      </c>
      <c r="E13" s="32">
        <f>COUNTIFS('DP və TP'!$B:$B,B13,
'DP və TP'!$AB:$AB,"Qismən icra",'DP və TP'!$AD:$AD,"&lt;=4")</f>
        <v>0</v>
      </c>
      <c r="F13" s="32">
        <f>COUNTIFS('DP və TP'!$B:$B,B13,
'DP və TP'!$AB:$AB,"İcra müddətinə var",'DP və TP'!$AD:$AD,"&lt;=4")</f>
        <v>0</v>
      </c>
      <c r="G13" s="32">
        <f>COUNTIFS('DP və TP'!$B:$B,B13,
'DP və TP'!$AB:$AB,"Gecikmə",'DP və TP'!$AD:$AD,"&lt;=4")</f>
        <v>0</v>
      </c>
      <c r="H13" s="32">
        <f>COUNTIFS('DP və TP'!$B:$B,B13,
'DP və TP'!$AB:$AB,"İcra olunmayıb",'DP və TP'!$AD:$AD,"&lt;=4")</f>
        <v>0</v>
      </c>
      <c r="I13" s="32">
        <f>COUNTIFS('DP və TP'!$B:$B,B13,
'DP və TP'!$AB:$AB,"İcra olunmayıb, prioritet deyil",'DP və TP'!$AD:$AD,"&lt;=4")</f>
        <v>1</v>
      </c>
      <c r="J13" s="33">
        <f>COUNTIFS('DP və TP'!$B:$B,B13,
'DP və TP'!$K:$K,"Tapşırıqların İcrasına Nəzarət platforması üzrə",
'DP və TP'!$AB:$AB,"Tam icra",'DP və TP'!$AD:$AD,"&lt;=4")</f>
        <v>0</v>
      </c>
      <c r="K13" s="33">
        <f>COUNTIFS('DP və TP'!$B:$B,B13,
'DP və TP'!$K:$K,"Tapşırıqların İcrasına Nəzarət platforması üzrə",
'DP və TP'!$AB:$AB,"Qismən icra",'DP və TP'!$AD:$AD,"&lt;=4")</f>
        <v>0</v>
      </c>
      <c r="L13" s="33">
        <f>COUNTIFS('DP və TP'!$B:$B,B13,
'DP və TP'!$K:$K,"Tapşırıqların İcrasına Nəzarət platforması üzrə",
'DP və TP'!$AB:$AB,"İcra müddətinə var",'DP və TP'!$AD:$AD,"&lt;=4")</f>
        <v>0</v>
      </c>
      <c r="M13" s="33">
        <f>COUNTIFS('DP və TP'!$B:$B,B13,
'DP və TP'!$K:$K,"Tapşırıqların İcrasına Nəzarət platforması üzrə",
'DP və TP'!$AB:$AB,"Gecikmə",'DP və TP'!$AD:$AD,"&lt;=4")</f>
        <v>0</v>
      </c>
      <c r="N13" s="33">
        <f>COUNTIFS('DP və TP'!$B:$B,B13,
'DP və TP'!$K:$K,"Tapşırıqların İcrasına Nəzarət platforması üzrə",
'DP və TP'!$AB:$AB,"İcra olunmayıb",'DP və TP'!$AD:$AD,"&lt;=4")</f>
        <v>0</v>
      </c>
      <c r="O13" s="34">
        <f>COUNTIFS('DP və TP'!$B:$B,B13,
'DP və TP'!$K:$K,"Tapşırıqların İcrasına Nəzarət platforması üzrə",
'DP və TP'!$AB:$AB,"İcra olunmayıb, prioritet deyil",'DP və TP'!$AD:$AD,"&lt;=4")</f>
        <v>1</v>
      </c>
      <c r="P13" s="38">
        <f t="shared" ref="P13:P20" si="0">SUM(J13:O13)</f>
        <v>1</v>
      </c>
    </row>
    <row r="14" spans="1:16" ht="50.25" customHeight="1" x14ac:dyDescent="0.3">
      <c r="A14" s="22">
        <v>4</v>
      </c>
      <c r="B14" s="23" t="s">
        <v>309</v>
      </c>
      <c r="C14" s="77">
        <f>COUNTIFS('DP və TP'!$B:$B,B14,'DP və TP'!$AD:$AD,"&lt;=4")</f>
        <v>7</v>
      </c>
      <c r="D14" s="81">
        <f>COUNTIFS('DP və TP'!$B:$B,B14,'DP və TP'!$AB:$AB,"Tam icra",'DP və TP'!$AD:$AD,"&lt;=4")</f>
        <v>2</v>
      </c>
      <c r="E14" s="32">
        <f>COUNTIFS('DP və TP'!$B:$B,B14,
'DP və TP'!$AB:$AB,"Qismən icra",'DP və TP'!$AD:$AD,"&lt;=4")</f>
        <v>0</v>
      </c>
      <c r="F14" s="32">
        <f>COUNTIFS('DP və TP'!$B:$B,B14,
'DP və TP'!$AB:$AB,"İcra müddətinə var",'DP və TP'!$AD:$AD,"&lt;=4")</f>
        <v>4</v>
      </c>
      <c r="G14" s="32">
        <f>COUNTIFS('DP və TP'!$B:$B,B14,
'DP və TP'!$AB:$AB,"Gecikmə",'DP və TP'!$AD:$AD,"&lt;=4")</f>
        <v>0</v>
      </c>
      <c r="H14" s="32">
        <f>COUNTIFS('DP və TP'!$B:$B,B14,
'DP və TP'!$AB:$AB,"İcra olunmayıb",'DP və TP'!$AD:$AD,"&lt;=4")</f>
        <v>0</v>
      </c>
      <c r="I14" s="32">
        <f>COUNTIFS('DP və TP'!$B:$B,B14,
'DP və TP'!$AB:$AB,"İcra olunmayıb, prioritet deyil",'DP və TP'!$AD:$AD,"&lt;=4")</f>
        <v>1</v>
      </c>
      <c r="J14" s="33">
        <f>COUNTIFS('DP və TP'!$B:$B,B14,
'DP və TP'!$K:$K,"Tapşırıqların İcrasına Nəzarət platforması üzrə",
'DP və TP'!$AB:$AB,"Tam icra",'DP və TP'!$AD:$AD,"&lt;=4")</f>
        <v>0</v>
      </c>
      <c r="K14" s="33">
        <f>COUNTIFS('DP və TP'!$B:$B,B14,
'DP və TP'!$K:$K,"Tapşırıqların İcrasına Nəzarət platforması üzrə",
'DP və TP'!$AB:$AB,"Qismən icra",'DP və TP'!$AD:$AD,"&lt;=4")</f>
        <v>0</v>
      </c>
      <c r="L14" s="33">
        <f>COUNTIFS('DP və TP'!$B:$B,B14,
'DP və TP'!$K:$K,"Tapşırıqların İcrasına Nəzarət platforması üzrə",
'DP və TP'!$AB:$AB,"İcra müddətinə var",'DP və TP'!$AD:$AD,"&lt;=4")</f>
        <v>0</v>
      </c>
      <c r="M14" s="33">
        <f>COUNTIFS('DP və TP'!$B:$B,B14,
'DP və TP'!$K:$K,"Tapşırıqların İcrasına Nəzarət platforması üzrə",
'DP və TP'!$AB:$AB,"Gecikmə",'DP və TP'!$AD:$AD,"&lt;=4")</f>
        <v>0</v>
      </c>
      <c r="N14" s="33">
        <f>COUNTIFS('DP və TP'!$B:$B,B14,
'DP və TP'!$K:$K,"Tapşırıqların İcrasına Nəzarət platforması üzrə",
'DP və TP'!$AB:$AB,"İcra olunmayıb",'DP və TP'!$AD:$AD,"&lt;=4")</f>
        <v>0</v>
      </c>
      <c r="O14" s="34">
        <f>COUNTIFS('DP və TP'!$B:$B,B14,
'DP və TP'!$K:$K,"Tapşırıqların İcrasına Nəzarət platforması üzrə",
'DP və TP'!$AB:$AB,"İcra olunmayıb, prioritet deyil",'DP və TP'!$AD:$AD,"&lt;=4")</f>
        <v>0</v>
      </c>
      <c r="P14" s="40">
        <f t="shared" si="0"/>
        <v>0</v>
      </c>
    </row>
    <row r="15" spans="1:16" ht="51" customHeight="1" x14ac:dyDescent="0.3">
      <c r="A15" s="22">
        <v>5</v>
      </c>
      <c r="B15" s="23" t="s">
        <v>146</v>
      </c>
      <c r="C15" s="77">
        <f>COUNTIFS('DP və TP'!$B:$B,B15,'DP və TP'!$AD:$AD,"&lt;=4")</f>
        <v>2</v>
      </c>
      <c r="D15" s="81">
        <f>COUNTIFS('DP və TP'!$B:$B,B15,'DP və TP'!$AB:$AB,"Tam icra",'DP və TP'!$AD:$AD,"&lt;=4")</f>
        <v>2</v>
      </c>
      <c r="E15" s="32">
        <f>COUNTIFS('DP və TP'!$B:$B,B15,
'DP və TP'!$AB:$AB,"Qismən icra",'DP və TP'!$AD:$AD,"&lt;=4")</f>
        <v>0</v>
      </c>
      <c r="F15" s="32">
        <f>COUNTIFS('DP və TP'!$B:$B,B15,
'DP və TP'!$AB:$AB,"İcra müddətinə var",'DP və TP'!$AD:$AD,"&lt;=4")</f>
        <v>0</v>
      </c>
      <c r="G15" s="32">
        <f>COUNTIFS('DP və TP'!$B:$B,B15,
'DP və TP'!$AB:$AB,"Gecikmə",'DP və TP'!$AD:$AD,"&lt;=4")</f>
        <v>0</v>
      </c>
      <c r="H15" s="32">
        <f>COUNTIFS('DP və TP'!$B:$B,B15,
'DP və TP'!$AB:$AB,"İcra olunmayıb",'DP və TP'!$AD:$AD,"&lt;=4")</f>
        <v>0</v>
      </c>
      <c r="I15" s="32">
        <f>COUNTIFS('DP və TP'!$B:$B,B15,
'DP və TP'!$AB:$AB,"İcra olunmayıb, prioritet deyil",'DP və TP'!$AD:$AD,"&lt;=4")</f>
        <v>0</v>
      </c>
      <c r="J15" s="33">
        <f>COUNTIFS('DP və TP'!$B:$B,B15,
'DP və TP'!$K:$K,"Tapşırıqların İcrasına Nəzarət platforması üzrə",
'DP və TP'!$AB:$AB,"Tam icra",'DP və TP'!$AD:$AD,"&lt;=4")</f>
        <v>1</v>
      </c>
      <c r="K15" s="33">
        <f>COUNTIFS('DP və TP'!$B:$B,B15,
'DP və TP'!$K:$K,"Tapşırıqların İcrasına Nəzarət platforması üzrə",
'DP və TP'!$AB:$AB,"Qismən icra",'DP və TP'!$AD:$AD,"&lt;=4")</f>
        <v>0</v>
      </c>
      <c r="L15" s="33">
        <f>COUNTIFS('DP və TP'!$B:$B,B15,
'DP və TP'!$K:$K,"Tapşırıqların İcrasına Nəzarət platforması üzrə",
'DP və TP'!$AB:$AB,"İcra müddətinə var",'DP və TP'!$AD:$AD,"&lt;=4")</f>
        <v>0</v>
      </c>
      <c r="M15" s="33">
        <f>COUNTIFS('DP və TP'!$B:$B,B15,
'DP və TP'!$K:$K,"Tapşırıqların İcrasına Nəzarət platforması üzrə",
'DP və TP'!$AB:$AB,"Gecikmə",'DP və TP'!$AD:$AD,"&lt;=4")</f>
        <v>0</v>
      </c>
      <c r="N15" s="33">
        <f>COUNTIFS('DP və TP'!$B:$B,B15,
'DP və TP'!$K:$K,"Tapşırıqların İcrasına Nəzarət platforması üzrə",
'DP və TP'!$AB:$AB,"İcra olunmayıb",'DP və TP'!$AD:$AD,"&lt;=4")</f>
        <v>0</v>
      </c>
      <c r="O15" s="34">
        <f>COUNTIFS('DP və TP'!$B:$B,B15,
'DP və TP'!$K:$K,"Tapşırıqların İcrasına Nəzarət platforması üzrə",
'DP və TP'!$AB:$AB,"İcra olunmayıb, prioritet deyil",'DP və TP'!$AD:$AD,"&lt;=4")</f>
        <v>0</v>
      </c>
      <c r="P15" s="43">
        <f t="shared" si="0"/>
        <v>1</v>
      </c>
    </row>
    <row r="16" spans="1:16" ht="39" customHeight="1" x14ac:dyDescent="0.3">
      <c r="A16" s="22">
        <v>6</v>
      </c>
      <c r="B16" s="23" t="s">
        <v>442</v>
      </c>
      <c r="C16" s="77">
        <f>COUNTIFS('DP və TP'!$B:$B,B16,'DP və TP'!$AD:$AD,"&lt;=4")</f>
        <v>5</v>
      </c>
      <c r="D16" s="81">
        <f>COUNTIFS('DP və TP'!$B:$B,B16,'DP və TP'!$AB:$AB,"Tam icra",'DP və TP'!$AD:$AD,"&lt;=4")</f>
        <v>0</v>
      </c>
      <c r="E16" s="32">
        <f>COUNTIFS('DP və TP'!$B:$B,B16,
'DP və TP'!$AB:$AB,"Qismən icra",'DP və TP'!$AD:$AD,"&lt;=4")</f>
        <v>0</v>
      </c>
      <c r="F16" s="32">
        <f>COUNTIFS('DP və TP'!$B:$B,B16,
'DP və TP'!$AB:$AB,"İcra müddətinə var",'DP və TP'!$AD:$AD,"&lt;=4")</f>
        <v>4</v>
      </c>
      <c r="G16" s="32">
        <f>COUNTIFS('DP və TP'!$B:$B,B16,
'DP və TP'!$AB:$AB,"Gecikmə",'DP və TP'!$AD:$AD,"&lt;=4")</f>
        <v>1</v>
      </c>
      <c r="H16" s="32">
        <f>COUNTIFS('DP və TP'!$B:$B,B16,
'DP və TP'!$AB:$AB,"İcra olunmayıb",'DP və TP'!$AD:$AD,"&lt;=4")</f>
        <v>0</v>
      </c>
      <c r="I16" s="32">
        <f>COUNTIFS('DP və TP'!$B:$B,B16,
'DP və TP'!$AB:$AB,"İcra olunmayıb, prioritet deyil",'DP və TP'!$AD:$AD,"&lt;=4")</f>
        <v>0</v>
      </c>
      <c r="J16" s="33">
        <f>COUNTIFS('DP və TP'!$B:$B,B16,
'DP və TP'!$K:$K,"Tapşırıqların İcrasına Nəzarət platforması üzrə",
'DP və TP'!$AB:$AB,"Tam icra",'DP və TP'!$AD:$AD,"&lt;=4")</f>
        <v>0</v>
      </c>
      <c r="K16" s="33">
        <f>COUNTIFS('DP və TP'!$B:$B,B16,
'DP və TP'!$K:$K,"Tapşırıqların İcrasına Nəzarət platforması üzrə",
'DP və TP'!$AB:$AB,"Qismən icra",'DP və TP'!$AD:$AD,"&lt;=4")</f>
        <v>0</v>
      </c>
      <c r="L16" s="33">
        <f>COUNTIFS('DP və TP'!$B:$B,B16,
'DP və TP'!$K:$K,"Tapşırıqların İcrasına Nəzarət platforması üzrə",
'DP və TP'!$AB:$AB,"İcra müddətinə var",'DP və TP'!$AD:$AD,"&lt;=4")</f>
        <v>0</v>
      </c>
      <c r="M16" s="33">
        <f>COUNTIFS('DP və TP'!$B:$B,B16,
'DP və TP'!$K:$K,"Tapşırıqların İcrasına Nəzarət platforması üzrə",
'DP və TP'!$AB:$AB,"Gecikmə",'DP və TP'!$AD:$AD,"&lt;=4")</f>
        <v>0</v>
      </c>
      <c r="N16" s="33">
        <f>COUNTIFS('DP və TP'!$B:$B,B16,
'DP və TP'!$K:$K,"Tapşırıqların İcrasına Nəzarət platforması üzrə",
'DP və TP'!$AB:$AB,"İcra olunmayıb",'DP və TP'!$AD:$AD,"&lt;=4")</f>
        <v>0</v>
      </c>
      <c r="O16" s="34">
        <f>COUNTIFS('DP və TP'!$B:$B,B16,
'DP və TP'!$K:$K,"Tapşırıqların İcrasına Nəzarət platforması üzrə",
'DP və TP'!$AB:$AB,"İcra olunmayıb, prioritet deyil",'DP və TP'!$AD:$AD,"&lt;=4")</f>
        <v>0</v>
      </c>
      <c r="P16" s="40">
        <f t="shared" si="0"/>
        <v>0</v>
      </c>
    </row>
    <row r="17" spans="1:16" ht="35.25" customHeight="1" x14ac:dyDescent="0.3">
      <c r="A17" s="22">
        <v>7</v>
      </c>
      <c r="B17" s="23" t="s">
        <v>412</v>
      </c>
      <c r="C17" s="77">
        <f>COUNTIFS('DP və TP'!$B:$B,B17,'DP və TP'!$AD:$AD,"&lt;=4")</f>
        <v>6</v>
      </c>
      <c r="D17" s="81">
        <f>COUNTIFS('DP və TP'!$B:$B,B17,'DP və TP'!$AB:$AB,"Tam icra",'DP və TP'!$AD:$AD,"&lt;=4")</f>
        <v>1</v>
      </c>
      <c r="E17" s="32">
        <f>COUNTIFS('DP və TP'!$B:$B,B17,
'DP və TP'!$AB:$AB,"Qismən icra",'DP və TP'!$AD:$AD,"&lt;=4")</f>
        <v>1</v>
      </c>
      <c r="F17" s="32">
        <f>COUNTIFS('DP və TP'!$B:$B,B17,
'DP və TP'!$AB:$AB,"İcra müddətinə var",'DP və TP'!$AD:$AD,"&lt;=4")</f>
        <v>3</v>
      </c>
      <c r="G17" s="32">
        <f>COUNTIFS('DP və TP'!$B:$B,B17,
'DP və TP'!$AB:$AB,"Gecikmə",'DP və TP'!$AD:$AD,"&lt;=4")</f>
        <v>0</v>
      </c>
      <c r="H17" s="32">
        <f>COUNTIFS('DP və TP'!$B:$B,B17,
'DP və TP'!$AB:$AB,"İcra olunmayıb",'DP və TP'!$AD:$AD,"&lt;=4")</f>
        <v>0</v>
      </c>
      <c r="I17" s="32">
        <f>COUNTIFS('DP və TP'!$B:$B,B17,
'DP və TP'!$AB:$AB,"İcra olunmayıb, prioritet deyil",'DP və TP'!$AD:$AD,"&lt;=4")</f>
        <v>1</v>
      </c>
      <c r="J17" s="33">
        <f>COUNTIFS('DP və TP'!$B:$B,B17,
'DP və TP'!$K:$K,"Tapşırıqların İcrasına Nəzarət platforması üzrə",
'DP və TP'!$AB:$AB,"Tam icra",'DP və TP'!$AD:$AD,"&lt;=4")</f>
        <v>1</v>
      </c>
      <c r="K17" s="33">
        <f>COUNTIFS('DP və TP'!$B:$B,B17,
'DP və TP'!$K:$K,"Tapşırıqların İcrasına Nəzarət platforması üzrə",
'DP və TP'!$AB:$AB,"Qismən icra",'DP və TP'!$AD:$AD,"&lt;=4")</f>
        <v>1</v>
      </c>
      <c r="L17" s="33">
        <f>COUNTIFS('DP və TP'!$B:$B,B17,
'DP və TP'!$K:$K,"Tapşırıqların İcrasına Nəzarət platforması üzrə",
'DP və TP'!$AB:$AB,"İcra müddətinə var",'DP və TP'!$AD:$AD,"&lt;=4")</f>
        <v>2</v>
      </c>
      <c r="M17" s="33">
        <f>COUNTIFS('DP və TP'!$B:$B,B17,
'DP və TP'!$K:$K,"Tapşırıqların İcrasına Nəzarət platforması üzrə",
'DP və TP'!$AB:$AB,"Gecikmə",'DP və TP'!$AD:$AD,"&lt;=4")</f>
        <v>0</v>
      </c>
      <c r="N17" s="33">
        <f>COUNTIFS('DP və TP'!$B:$B,B17,
'DP və TP'!$K:$K,"Tapşırıqların İcrasına Nəzarət platforması üzrə",
'DP və TP'!$AB:$AB,"İcra olunmayıb",'DP və TP'!$AD:$AD,"&lt;=4")</f>
        <v>0</v>
      </c>
      <c r="O17" s="34">
        <f>COUNTIFS('DP və TP'!$B:$B,B17,
'DP və TP'!$K:$K,"Tapşırıqların İcrasına Nəzarət platforması üzrə",
'DP və TP'!$AB:$AB,"İcra olunmayıb, prioritet deyil",'DP və TP'!$AD:$AD,"&lt;=4")</f>
        <v>1</v>
      </c>
      <c r="P17" s="40">
        <f t="shared" si="0"/>
        <v>5</v>
      </c>
    </row>
    <row r="18" spans="1:16" ht="49.5" customHeight="1" x14ac:dyDescent="0.3">
      <c r="A18" s="22">
        <v>8</v>
      </c>
      <c r="B18" s="23" t="s">
        <v>341</v>
      </c>
      <c r="C18" s="77">
        <f>COUNTIFS('DP və TP'!$B:$B,B18,'DP və TP'!$AD:$AD,"&lt;=4")</f>
        <v>1</v>
      </c>
      <c r="D18" s="81">
        <f>COUNTIFS('DP və TP'!$B:$B,B18,'DP və TP'!$AB:$AB,"Tam icra",'DP və TP'!$AD:$AD,"&lt;=4")</f>
        <v>1</v>
      </c>
      <c r="E18" s="32">
        <f>COUNTIFS('DP və TP'!$B:$B,B18,
'DP və TP'!$AB:$AB,"Qismən icra",'DP və TP'!$AD:$AD,"&lt;=4")</f>
        <v>0</v>
      </c>
      <c r="F18" s="32">
        <f>COUNTIFS('DP və TP'!$B:$B,B18,
'DP və TP'!$AB:$AB,"İcra müddətinə var",'DP və TP'!$AD:$AD,"&lt;=4")</f>
        <v>0</v>
      </c>
      <c r="G18" s="32">
        <f>COUNTIFS('DP və TP'!$B:$B,B18,
'DP və TP'!$AB:$AB,"Gecikmə",'DP və TP'!$AD:$AD,"&lt;=4")</f>
        <v>0</v>
      </c>
      <c r="H18" s="32">
        <f>COUNTIFS('DP və TP'!$B:$B,B18,
'DP və TP'!$AB:$AB,"İcra olunmayıb",'DP və TP'!$AD:$AD,"&lt;=4")</f>
        <v>0</v>
      </c>
      <c r="I18" s="32">
        <f>COUNTIFS('DP və TP'!$B:$B,B18,
'DP və TP'!$AB:$AB,"İcra olunmayıb, prioritet deyil",'DP və TP'!$AD:$AD,"&lt;=4")</f>
        <v>0</v>
      </c>
      <c r="J18" s="33">
        <f>COUNTIFS('DP və TP'!$B:$B,B18,
'DP və TP'!$K:$K,"Tapşırıqların İcrasına Nəzarət platforması üzrə",
'DP və TP'!$AB:$AB,"Tam icra",'DP və TP'!$AD:$AD,"&lt;=4")</f>
        <v>0</v>
      </c>
      <c r="K18" s="33">
        <f>COUNTIFS('DP və TP'!$B:$B,B18,
'DP və TP'!$K:$K,"Tapşırıqların İcrasına Nəzarət platforması üzrə",
'DP və TP'!$AB:$AB,"Qismən icra",'DP və TP'!$AD:$AD,"&lt;=4")</f>
        <v>0</v>
      </c>
      <c r="L18" s="33">
        <f>COUNTIFS('DP və TP'!$B:$B,B18,
'DP və TP'!$K:$K,"Tapşırıqların İcrasına Nəzarət platforması üzrə",
'DP və TP'!$AB:$AB,"İcra müddətinə var",'DP və TP'!$AD:$AD,"&lt;=4")</f>
        <v>0</v>
      </c>
      <c r="M18" s="33">
        <f>COUNTIFS('DP və TP'!$B:$B,B18,
'DP və TP'!$K:$K,"Tapşırıqların İcrasına Nəzarət platforması üzrə",
'DP və TP'!$AB:$AB,"Gecikmə",'DP və TP'!$AD:$AD,"&lt;=4")</f>
        <v>0</v>
      </c>
      <c r="N18" s="33">
        <f>COUNTIFS('DP və TP'!$B:$B,B18,
'DP və TP'!$K:$K,"Tapşırıqların İcrasına Nəzarət platforması üzrə",
'DP və TP'!$AB:$AB,"İcra olunmayıb",'DP və TP'!$AD:$AD,"&lt;=4")</f>
        <v>0</v>
      </c>
      <c r="O18" s="34">
        <f>COUNTIFS('DP və TP'!$B:$B,B18,
'DP və TP'!$K:$K,"Tapşırıqların İcrasına Nəzarət platforması üzrə",
'DP və TP'!$AB:$AB,"İcra olunmayıb, prioritet deyil",'DP və TP'!$AD:$AD,"&lt;=4")</f>
        <v>0</v>
      </c>
      <c r="P18" s="40">
        <f t="shared" si="0"/>
        <v>0</v>
      </c>
    </row>
    <row r="19" spans="1:16" ht="36" customHeight="1" x14ac:dyDescent="0.3">
      <c r="A19" s="22">
        <v>9</v>
      </c>
      <c r="B19" s="23" t="s">
        <v>426</v>
      </c>
      <c r="C19" s="77">
        <f>COUNTIFS('DP və TP'!$B:$B,B19,'DP və TP'!$AD:$AD,"&lt;=4")</f>
        <v>3</v>
      </c>
      <c r="D19" s="81">
        <f>COUNTIFS('DP və TP'!$B:$B,B19,'DP və TP'!$AB:$AB,"Tam icra",'DP və TP'!$AD:$AD,"&lt;=4")</f>
        <v>0</v>
      </c>
      <c r="E19" s="32">
        <f>COUNTIFS('DP və TP'!$B:$B,B19,
'DP və TP'!$AB:$AB,"Qismən icra",'DP və TP'!$AD:$AD,"&lt;=4")</f>
        <v>1</v>
      </c>
      <c r="F19" s="32">
        <f>COUNTIFS('DP və TP'!$B:$B,B19,
'DP və TP'!$AB:$AB,"İcra müddətinə var",'DP və TP'!$AD:$AD,"&lt;=4")</f>
        <v>0</v>
      </c>
      <c r="G19" s="32">
        <f>COUNTIFS('DP və TP'!$B:$B,B19,
'DP və TP'!$AB:$AB,"Gecikmə",'DP və TP'!$AD:$AD,"&lt;=4")</f>
        <v>1</v>
      </c>
      <c r="H19" s="32">
        <f>COUNTIFS('DP və TP'!$B:$B,B19,
'DP və TP'!$AB:$AB,"İcra olunmayıb",'DP və TP'!$AD:$AD,"&lt;=4")</f>
        <v>0</v>
      </c>
      <c r="I19" s="32">
        <f>COUNTIFS('DP və TP'!$B:$B,B19,
'DP və TP'!$AB:$AB,"İcra olunmayıb, prioritet deyil",'DP və TP'!$AD:$AD,"&lt;=4")</f>
        <v>1</v>
      </c>
      <c r="J19" s="33">
        <f>COUNTIFS('DP və TP'!$B:$B,B19,
'DP və TP'!$K:$K,"Tapşırıqların İcrasına Nəzarət platforması üzrə",
'DP və TP'!$AB:$AB,"Tam icra",'DP və TP'!$AD:$AD,"&lt;=4")</f>
        <v>0</v>
      </c>
      <c r="K19" s="33">
        <f>COUNTIFS('DP və TP'!$B:$B,B19,
'DP və TP'!$K:$K,"Tapşırıqların İcrasına Nəzarət platforması üzrə",
'DP və TP'!$AB:$AB,"Qismən icra",'DP və TP'!$AD:$AD,"&lt;=4")</f>
        <v>1</v>
      </c>
      <c r="L19" s="33">
        <f>COUNTIFS('DP və TP'!$B:$B,B19,
'DP və TP'!$K:$K,"Tapşırıqların İcrasına Nəzarət platforması üzrə",
'DP və TP'!$AB:$AB,"İcra müddətinə var",'DP və TP'!$AD:$AD,"&lt;=4")</f>
        <v>0</v>
      </c>
      <c r="M19" s="33">
        <f>COUNTIFS('DP və TP'!$B:$B,B19,
'DP və TP'!$K:$K,"Tapşırıqların İcrasına Nəzarət platforması üzrə",
'DP və TP'!$AB:$AB,"Gecikmə",'DP və TP'!$AD:$AD,"&lt;=4")</f>
        <v>1</v>
      </c>
      <c r="N19" s="33">
        <f>COUNTIFS('DP və TP'!$B:$B,B19,
'DP və TP'!$K:$K,"Tapşırıqların İcrasına Nəzarət platforması üzrə",
'DP və TP'!$AB:$AB,"İcra olunmayıb",'DP və TP'!$AD:$AD,"&lt;=4")</f>
        <v>0</v>
      </c>
      <c r="O19" s="34">
        <f>COUNTIFS('DP və TP'!$B:$B,B19,
'DP və TP'!$K:$K,"Tapşırıqların İcrasına Nəzarət platforması üzrə",
'DP və TP'!$AB:$AB,"İcra olunmayıb, prioritet deyil",'DP və TP'!$AD:$AD,"&lt;=4")</f>
        <v>0</v>
      </c>
      <c r="P19" s="43">
        <f t="shared" si="0"/>
        <v>2</v>
      </c>
    </row>
    <row r="20" spans="1:16" ht="34.5" customHeight="1" x14ac:dyDescent="0.3">
      <c r="A20" s="22">
        <v>10</v>
      </c>
      <c r="B20" s="23" t="s">
        <v>398</v>
      </c>
      <c r="C20" s="77">
        <f>COUNTIFS('DP və TP'!$B:$B,B20,'DP və TP'!$AD:$AD,"&lt;=4")</f>
        <v>6</v>
      </c>
      <c r="D20" s="81">
        <f>COUNTIFS('DP və TP'!$B:$B,B20,'DP və TP'!$AB:$AB,"Tam icra",'DP və TP'!$AD:$AD,"&lt;=4")</f>
        <v>2</v>
      </c>
      <c r="E20" s="32">
        <f>COUNTIFS('DP və TP'!$B:$B,B20,
'DP və TP'!$AB:$AB,"Qismən icra",'DP və TP'!$AD:$AD,"&lt;=4")</f>
        <v>0</v>
      </c>
      <c r="F20" s="32">
        <f>COUNTIFS('DP və TP'!$B:$B,B20,
'DP və TP'!$AB:$AB,"İcra müddətinə var",'DP və TP'!$AD:$AD,"&lt;=4")</f>
        <v>3</v>
      </c>
      <c r="G20" s="32">
        <f>COUNTIFS('DP və TP'!$B:$B,B20,
'DP və TP'!$AB:$AB,"Gecikmə",'DP və TP'!$AD:$AD,"&lt;=4")</f>
        <v>1</v>
      </c>
      <c r="H20" s="32">
        <f>COUNTIFS('DP və TP'!$B:$B,B20,
'DP və TP'!$AB:$AB,"İcra olunmayıb",'DP və TP'!$AD:$AD,"&lt;=4")</f>
        <v>0</v>
      </c>
      <c r="I20" s="32">
        <f>COUNTIFS('DP və TP'!$B:$B,B20,
'DP və TP'!$AB:$AB,"İcra olunmayıb, prioritet deyil",'DP və TP'!$AD:$AD,"&lt;=4")</f>
        <v>0</v>
      </c>
      <c r="J20" s="33">
        <f>COUNTIFS('DP və TP'!$B:$B,B20,
'DP və TP'!$K:$K,"Tapşırıqların İcrasına Nəzarət platforması üzrə",
'DP və TP'!$AB:$AB,"Tam icra",'DP və TP'!$AD:$AD,"&lt;=4")</f>
        <v>0</v>
      </c>
      <c r="K20" s="33">
        <f>COUNTIFS('DP və TP'!$B:$B,B20,
'DP və TP'!$K:$K,"Tapşırıqların İcrasına Nəzarət platforması üzrə",
'DP və TP'!$AB:$AB,"Qismən icra",'DP və TP'!$AD:$AD,"&lt;=4")</f>
        <v>0</v>
      </c>
      <c r="L20" s="33">
        <f>COUNTIFS('DP və TP'!$B:$B,B20,
'DP və TP'!$K:$K,"Tapşırıqların İcrasına Nəzarət platforması üzrə",
'DP və TP'!$AB:$AB,"İcra müddətinə var",'DP və TP'!$AD:$AD,"&lt;=4")</f>
        <v>2</v>
      </c>
      <c r="M20" s="33">
        <f>COUNTIFS('DP və TP'!$B:$B,B20,
'DP və TP'!$K:$K,"Tapşırıqların İcrasına Nəzarət platforması üzrə",
'DP və TP'!$AB:$AB,"Gecikmə",'DP və TP'!$AD:$AD,"&lt;=4")</f>
        <v>1</v>
      </c>
      <c r="N20" s="33">
        <f>COUNTIFS('DP və TP'!$B:$B,B20,
'DP və TP'!$K:$K,"Tapşırıqların İcrasına Nəzarət platforması üzrə",
'DP və TP'!$AB:$AB,"İcra olunmayıb",'DP və TP'!$AD:$AD,"&lt;=4")</f>
        <v>0</v>
      </c>
      <c r="O20" s="34">
        <f>COUNTIFS('DP və TP'!$B:$B,B20,
'DP və TP'!$K:$K,"Tapşırıqların İcrasına Nəzarət platforması üzrə",
'DP və TP'!$AB:$AB,"İcra olunmayıb, prioritet deyil",'DP və TP'!$AD:$AD,"&lt;=4")</f>
        <v>0</v>
      </c>
      <c r="P20" s="30">
        <f t="shared" si="0"/>
        <v>3</v>
      </c>
    </row>
    <row r="21" spans="1:16" ht="39" customHeight="1" x14ac:dyDescent="0.3">
      <c r="A21" s="22">
        <v>11</v>
      </c>
      <c r="B21" s="23" t="s">
        <v>535</v>
      </c>
      <c r="C21" s="77">
        <f>COUNTIFS('DP və TP'!$B:$B,B21,'DP və TP'!$AD:$AD,"&lt;=4")</f>
        <v>3</v>
      </c>
      <c r="D21" s="81">
        <f>COUNTIFS('DP və TP'!$B:$B,B21,'DP və TP'!$AB:$AB,"Tam icra",'DP və TP'!$AD:$AD,"&lt;=4")</f>
        <v>2</v>
      </c>
      <c r="E21" s="32">
        <f>COUNTIFS('DP və TP'!$B:$B,B21,
'DP və TP'!$AB:$AB,"Qismən icra",'DP və TP'!$AD:$AD,"&lt;=4")</f>
        <v>0</v>
      </c>
      <c r="F21" s="32">
        <f>COUNTIFS('DP və TP'!$B:$B,B21,
'DP və TP'!$AB:$AB,"İcra müddətinə var",'DP və TP'!$AD:$AD,"&lt;=4")</f>
        <v>0</v>
      </c>
      <c r="G21" s="32">
        <f>COUNTIFS('DP və TP'!$B:$B,B21,
'DP və TP'!$AB:$AB,"Gecikmə",'DP və TP'!$AD:$AD,"&lt;=4")</f>
        <v>0</v>
      </c>
      <c r="H21" s="32">
        <f>COUNTIFS('DP və TP'!$B:$B,B21,
'DP və TP'!$AB:$AB,"İcra olunmayıb",'DP və TP'!$AD:$AD,"&lt;=4")</f>
        <v>0</v>
      </c>
      <c r="I21" s="32">
        <f>COUNTIFS('DP və TP'!$B:$B,B21,
'DP və TP'!$AB:$AB,"İcra olunmayıb, prioritet deyil",'DP və TP'!$AD:$AD,"&lt;=4")</f>
        <v>1</v>
      </c>
      <c r="J21" s="33">
        <f>COUNTIFS('DP və TP'!$B:$B,B21,
'DP və TP'!$K:$K,"Tapşırıqların İcrasına Nəzarət platforması üzrə",
'DP və TP'!$AB:$AB,"Tam icra",'DP və TP'!$AD:$AD,"&lt;=4")</f>
        <v>0</v>
      </c>
      <c r="K21" s="33">
        <f>COUNTIFS('DP və TP'!$B:$B,B21,
'DP və TP'!$K:$K,"Tapşırıqların İcrasına Nəzarət platforması üzrə",
'DP və TP'!$AB:$AB,"Qismən icra",'DP və TP'!$AD:$AD,"&lt;=4")</f>
        <v>0</v>
      </c>
      <c r="L21" s="33">
        <f>COUNTIFS('DP və TP'!$B:$B,B21,
'DP və TP'!$K:$K,"Tapşırıqların İcrasına Nəzarət platforması üzrə",
'DP və TP'!$AB:$AB,"İcra müddətinə var",'DP və TP'!$AD:$AD,"&lt;=4")</f>
        <v>0</v>
      </c>
      <c r="M21" s="33">
        <f>COUNTIFS('DP və TP'!$B:$B,B21,
'DP və TP'!$K:$K,"Tapşırıqların İcrasına Nəzarət platforması üzrə",
'DP və TP'!$AB:$AB,"Gecikmə",'DP və TP'!$AD:$AD,"&lt;=4")</f>
        <v>0</v>
      </c>
      <c r="N21" s="33">
        <f>COUNTIFS('DP və TP'!$B:$B,B21,
'DP və TP'!$K:$K,"Tapşırıqların İcrasına Nəzarət platforması üzrə",
'DP və TP'!$AB:$AB,"İcra olunmayıb",'DP və TP'!$AD:$AD,"&lt;=4")</f>
        <v>0</v>
      </c>
      <c r="O21" s="34">
        <f>COUNTIFS('DP və TP'!$B:$B,B21,
'DP və TP'!$K:$K,"Tapşırıqların İcrasına Nəzarət platforması üzrə",
'DP və TP'!$AB:$AB,"İcra olunmayıb, prioritet deyil",'DP və TP'!$AD:$AD,"&lt;=4")</f>
        <v>0</v>
      </c>
      <c r="P21" s="30"/>
    </row>
    <row r="22" spans="1:16" ht="39" customHeight="1" x14ac:dyDescent="0.3">
      <c r="A22" s="22">
        <v>12</v>
      </c>
      <c r="B22" s="23" t="s">
        <v>516</v>
      </c>
      <c r="C22" s="77">
        <f>COUNTIFS('DP və TP'!$B:$B,B22,'DP və TP'!$AD:$AD,"&lt;=4")</f>
        <v>4</v>
      </c>
      <c r="D22" s="81">
        <f>COUNTIFS('DP və TP'!$B:$B,B22,'DP və TP'!$AB:$AB,"Tam icra",'DP və TP'!$AD:$AD,"&lt;=4")</f>
        <v>0</v>
      </c>
      <c r="E22" s="32">
        <f>COUNTIFS('DP və TP'!$B:$B,B22,
'DP və TP'!$AB:$AB,"Qismən icra",'DP və TP'!$AD:$AD,"&lt;=4")</f>
        <v>0</v>
      </c>
      <c r="F22" s="32">
        <f>COUNTIFS('DP və TP'!$B:$B,B22,
'DP və TP'!$AB:$AB,"İcra müddətinə var",'DP və TP'!$AD:$AD,"&lt;=4")</f>
        <v>1</v>
      </c>
      <c r="G22" s="32">
        <f>COUNTIFS('DP və TP'!$B:$B,B22,
'DP və TP'!$AB:$AB,"Gecikmə",'DP və TP'!$AD:$AD,"&lt;=4")</f>
        <v>0</v>
      </c>
      <c r="H22" s="32">
        <f>COUNTIFS('DP və TP'!$B:$B,B22,
'DP və TP'!$AB:$AB,"İcra olunmayıb",'DP və TP'!$AD:$AD,"&lt;=4")</f>
        <v>0</v>
      </c>
      <c r="I22" s="32">
        <f>COUNTIFS('DP və TP'!$B:$B,B22,
'DP və TP'!$AB:$AB,"İcra olunmayıb, prioritet deyil",'DP və TP'!$AD:$AD,"&lt;=4")</f>
        <v>3</v>
      </c>
      <c r="J22" s="33">
        <f>COUNTIFS('DP və TP'!$B:$B,B22,
'DP və TP'!$K:$K,"Tapşırıqların İcrasına Nəzarət platforması üzrə",
'DP və TP'!$AB:$AB,"Tam icra",'DP və TP'!$AD:$AD,"&lt;=4")</f>
        <v>0</v>
      </c>
      <c r="K22" s="33">
        <f>COUNTIFS('DP və TP'!$B:$B,B22,
'DP və TP'!$K:$K,"Tapşırıqların İcrasına Nəzarət platforması üzrə",
'DP və TP'!$AB:$AB,"Qismən icra",'DP və TP'!$AD:$AD,"&lt;=4")</f>
        <v>0</v>
      </c>
      <c r="L22" s="33">
        <f>COUNTIFS('DP və TP'!$B:$B,B22,
'DP və TP'!$K:$K,"Tapşırıqların İcrasına Nəzarət platforması üzrə",
'DP və TP'!$AB:$AB,"İcra müddətinə var",'DP və TP'!$AD:$AD,"&lt;=4")</f>
        <v>0</v>
      </c>
      <c r="M22" s="33">
        <f>COUNTIFS('DP və TP'!$B:$B,B22,
'DP və TP'!$K:$K,"Tapşırıqların İcrasına Nəzarət platforması üzrə",
'DP və TP'!$AB:$AB,"Gecikmə",'DP və TP'!$AD:$AD,"&lt;=4")</f>
        <v>0</v>
      </c>
      <c r="N22" s="33">
        <f>COUNTIFS('DP və TP'!$B:$B,B22,
'DP və TP'!$K:$K,"Tapşırıqların İcrasına Nəzarət platforması üzrə",
'DP və TP'!$AB:$AB,"İcra olunmayıb",'DP və TP'!$AD:$AD,"&lt;=4")</f>
        <v>0</v>
      </c>
      <c r="O22" s="34">
        <f>COUNTIFS('DP və TP'!$B:$B,B22,
'DP və TP'!$K:$K,"Tapşırıqların İcrasına Nəzarət platforması üzrə",
'DP və TP'!$AB:$AB,"İcra olunmayıb, prioritet deyil",'DP və TP'!$AD:$AD,"&lt;=4")</f>
        <v>0</v>
      </c>
      <c r="P22" s="30"/>
    </row>
    <row r="23" spans="1:16" ht="22.5" customHeight="1" x14ac:dyDescent="0.3">
      <c r="A23" s="22">
        <v>13</v>
      </c>
      <c r="B23" s="23" t="s">
        <v>429</v>
      </c>
      <c r="C23" s="77">
        <f>COUNTIFS('DP və TP'!$B:$B,B23,'DP və TP'!$AD:$AD,"&lt;=4")</f>
        <v>3</v>
      </c>
      <c r="D23" s="81">
        <f>COUNTIFS('DP və TP'!$B:$B,B23,'DP və TP'!$AB:$AB,"Tam icra",'DP və TP'!$AD:$AD,"&lt;=4")</f>
        <v>0</v>
      </c>
      <c r="E23" s="32">
        <f>COUNTIFS('DP və TP'!$B:$B,B23,
'DP və TP'!$AB:$AB,"Qismən icra",'DP və TP'!$AD:$AD,"&lt;=4")</f>
        <v>1</v>
      </c>
      <c r="F23" s="32">
        <f>COUNTIFS('DP və TP'!$B:$B,B23,
'DP və TP'!$AB:$AB,"İcra müddətinə var",'DP və TP'!$AD:$AD,"&lt;=4")</f>
        <v>2</v>
      </c>
      <c r="G23" s="32">
        <f>COUNTIFS('DP və TP'!$B:$B,B23,
'DP və TP'!$AB:$AB,"Gecikmə",'DP və TP'!$AD:$AD,"&lt;=4")</f>
        <v>0</v>
      </c>
      <c r="H23" s="32">
        <f>COUNTIFS('DP və TP'!$B:$B,B23,
'DP və TP'!$AB:$AB,"İcra olunmayıb",'DP və TP'!$AD:$AD,"&lt;=4")</f>
        <v>0</v>
      </c>
      <c r="I23" s="32">
        <f>COUNTIFS('DP və TP'!$B:$B,B23,
'DP və TP'!$AB:$AB,"İcra olunmayıb, prioritet deyil",'DP və TP'!$AD:$AD,"&lt;=4")</f>
        <v>0</v>
      </c>
      <c r="J23" s="33">
        <f>COUNTIFS('DP və TP'!$B:$B,B23,
'DP və TP'!$K:$K,"Tapşırıqların İcrasına Nəzarət platforması üzrə",
'DP və TP'!$AB:$AB,"Tam icra",'DP və TP'!$AD:$AD,"&lt;=4")</f>
        <v>0</v>
      </c>
      <c r="K23" s="33">
        <f>COUNTIFS('DP və TP'!$B:$B,B23,
'DP və TP'!$K:$K,"Tapşırıqların İcrasına Nəzarət platforması üzrə",
'DP və TP'!$AB:$AB,"Qismən icra",'DP və TP'!$AD:$AD,"&lt;=4")</f>
        <v>0</v>
      </c>
      <c r="L23" s="33">
        <f>COUNTIFS('DP və TP'!$B:$B,B23,
'DP və TP'!$K:$K,"Tapşırıqların İcrasına Nəzarət platforması üzrə",
'DP və TP'!$AB:$AB,"İcra müddətinə var",'DP və TP'!$AD:$AD,"&lt;=4")</f>
        <v>0</v>
      </c>
      <c r="M23" s="33">
        <f>COUNTIFS('DP və TP'!$B:$B,B23,
'DP və TP'!$K:$K,"Tapşırıqların İcrasına Nəzarət platforması üzrə",
'DP və TP'!$AB:$AB,"Gecikmə",'DP və TP'!$AD:$AD,"&lt;=4")</f>
        <v>0</v>
      </c>
      <c r="N23" s="33">
        <f>COUNTIFS('DP və TP'!$B:$B,B23,
'DP və TP'!$K:$K,"Tapşırıqların İcrasına Nəzarət platforması üzrə",
'DP və TP'!$AB:$AB,"İcra olunmayıb",'DP və TP'!$AD:$AD,"&lt;=4")</f>
        <v>0</v>
      </c>
      <c r="O23" s="34">
        <f>COUNTIFS('DP və TP'!$B:$B,B23,
'DP və TP'!$K:$K,"Tapşırıqların İcrasına Nəzarət platforması üzrə",
'DP və TP'!$AB:$AB,"İcra olunmayıb, prioritet deyil",'DP və TP'!$AD:$AD,"&lt;=4")</f>
        <v>0</v>
      </c>
      <c r="P23" s="30">
        <f t="shared" ref="P23:P33" si="1">SUM(J23:O23)</f>
        <v>0</v>
      </c>
    </row>
    <row r="24" spans="1:16" ht="38.25" customHeight="1" x14ac:dyDescent="0.3">
      <c r="A24" s="22">
        <v>14</v>
      </c>
      <c r="B24" s="23" t="s">
        <v>161</v>
      </c>
      <c r="C24" s="77">
        <f>COUNTIFS('DP və TP'!$B:$B,B24,'DP və TP'!$AD:$AD,"&lt;=4")</f>
        <v>16</v>
      </c>
      <c r="D24" s="81">
        <f>COUNTIFS('DP və TP'!$B:$B,B24,'DP və TP'!$AB:$AB,"Tam icra",'DP və TP'!$AD:$AD,"&lt;=4")</f>
        <v>5</v>
      </c>
      <c r="E24" s="32">
        <f>COUNTIFS('DP və TP'!$B:$B,B24,
'DP və TP'!$AB:$AB,"Qismən icra",'DP və TP'!$AD:$AD,"&lt;=4")</f>
        <v>1</v>
      </c>
      <c r="F24" s="32">
        <f>COUNTIFS('DP və TP'!$B:$B,B24,
'DP və TP'!$AB:$AB,"İcra müddətinə var",'DP və TP'!$AD:$AD,"&lt;=4")</f>
        <v>8</v>
      </c>
      <c r="G24" s="32">
        <f>COUNTIFS('DP və TP'!$B:$B,B24,
'DP və TP'!$AB:$AB,"Gecikmə",'DP və TP'!$AD:$AD,"&lt;=4")</f>
        <v>1</v>
      </c>
      <c r="H24" s="32">
        <f>COUNTIFS('DP və TP'!$B:$B,B24,
'DP və TP'!$AB:$AB,"İcra olunmayıb",'DP və TP'!$AD:$AD,"&lt;=4")</f>
        <v>0</v>
      </c>
      <c r="I24" s="32">
        <f>COUNTIFS('DP və TP'!$B:$B,B24,
'DP və TP'!$AB:$AB,"İcra olunmayıb, prioritet deyil",'DP və TP'!$AD:$AD,"&lt;=4")</f>
        <v>1</v>
      </c>
      <c r="J24" s="33">
        <f>COUNTIFS('DP və TP'!$B:$B,B24,
'DP və TP'!$K:$K,"Tapşırıqların İcrasına Nəzarət platforması üzrə",
'DP və TP'!$AB:$AB,"Tam icra",'DP və TP'!$AD:$AD,"&lt;=4")</f>
        <v>3</v>
      </c>
      <c r="K24" s="33">
        <f>COUNTIFS('DP və TP'!$B:$B,B24,
'DP və TP'!$K:$K,"Tapşırıqların İcrasına Nəzarət platforması üzrə",
'DP və TP'!$AB:$AB,"Qismən icra",'DP və TP'!$AD:$AD,"&lt;=4")</f>
        <v>0</v>
      </c>
      <c r="L24" s="33">
        <f>COUNTIFS('DP və TP'!$B:$B,B24,
'DP və TP'!$K:$K,"Tapşırıqların İcrasına Nəzarət platforması üzrə",
'DP və TP'!$AB:$AB,"İcra müddətinə var",'DP və TP'!$AD:$AD,"&lt;=4")</f>
        <v>2</v>
      </c>
      <c r="M24" s="33">
        <f>COUNTIFS('DP və TP'!$B:$B,B24,
'DP və TP'!$K:$K,"Tapşırıqların İcrasına Nəzarət platforması üzrə",
'DP və TP'!$AB:$AB,"Gecikmə",'DP və TP'!$AD:$AD,"&lt;=4")</f>
        <v>1</v>
      </c>
      <c r="N24" s="33">
        <f>COUNTIFS('DP və TP'!$B:$B,B24,
'DP və TP'!$K:$K,"Tapşırıqların İcrasına Nəzarət platforması üzrə",
'DP və TP'!$AB:$AB,"İcra olunmayıb",'DP və TP'!$AD:$AD,"&lt;=4")</f>
        <v>0</v>
      </c>
      <c r="O24" s="34">
        <f>COUNTIFS('DP və TP'!$B:$B,B24,
'DP və TP'!$K:$K,"Tapşırıqların İcrasına Nəzarət platforması üzrə",
'DP və TP'!$AB:$AB,"İcra olunmayıb, prioritet deyil",'DP və TP'!$AD:$AD,"&lt;=4")</f>
        <v>1</v>
      </c>
      <c r="P24" s="43">
        <f t="shared" si="1"/>
        <v>7</v>
      </c>
    </row>
    <row r="25" spans="1:16" ht="36.75" customHeight="1" x14ac:dyDescent="0.3">
      <c r="A25" s="22">
        <v>15</v>
      </c>
      <c r="B25" s="23" t="s">
        <v>509</v>
      </c>
      <c r="C25" s="77">
        <f>COUNTIFS('DP və TP'!$B:$B,B25,'DP və TP'!$AD:$AD,"&lt;=4")</f>
        <v>2</v>
      </c>
      <c r="D25" s="81">
        <f>COUNTIFS('DP və TP'!$B:$B,B25,'DP və TP'!$AB:$AB,"Tam icra",'DP və TP'!$AD:$AD,"&lt;=4")</f>
        <v>1</v>
      </c>
      <c r="E25" s="32">
        <f>COUNTIFS('DP və TP'!$B:$B,B25,
'DP və TP'!$AB:$AB,"Qismən icra",'DP və TP'!$AD:$AD,"&lt;=4")</f>
        <v>0</v>
      </c>
      <c r="F25" s="32">
        <f>COUNTIFS('DP və TP'!$B:$B,B25,
'DP və TP'!$AB:$AB,"İcra müddətinə var",'DP və TP'!$AD:$AD,"&lt;=4")</f>
        <v>1</v>
      </c>
      <c r="G25" s="32">
        <f>COUNTIFS('DP və TP'!$B:$B,B25,
'DP və TP'!$AB:$AB,"Gecikmə",'DP və TP'!$AD:$AD,"&lt;=4")</f>
        <v>0</v>
      </c>
      <c r="H25" s="32">
        <f>COUNTIFS('DP və TP'!$B:$B,B25,
'DP və TP'!$AB:$AB,"İcra olunmayıb",'DP və TP'!$AD:$AD,"&lt;=4")</f>
        <v>0</v>
      </c>
      <c r="I25" s="32">
        <f>COUNTIFS('DP və TP'!$B:$B,B25,
'DP və TP'!$AB:$AB,"İcra olunmayıb, prioritet deyil",'DP və TP'!$AD:$AD,"&lt;=4")</f>
        <v>0</v>
      </c>
      <c r="J25" s="33">
        <f>COUNTIFS('DP və TP'!$B:$B,B25,
'DP və TP'!$K:$K,"Tapşırıqların İcrasına Nəzarət platforması üzrə",
'DP və TP'!$AB:$AB,"Tam icra",'DP və TP'!$AD:$AD,"&lt;=4")</f>
        <v>1</v>
      </c>
      <c r="K25" s="33">
        <f>COUNTIFS('DP və TP'!$B:$B,B25,
'DP və TP'!$K:$K,"Tapşırıqların İcrasına Nəzarət platforması üzrə",
'DP və TP'!$AB:$AB,"Qismən icra",'DP və TP'!$AD:$AD,"&lt;=4")</f>
        <v>0</v>
      </c>
      <c r="L25" s="33">
        <f>COUNTIFS('DP və TP'!$B:$B,B25,
'DP və TP'!$K:$K,"Tapşırıqların İcrasına Nəzarət platforması üzrə",
'DP və TP'!$AB:$AB,"İcra müddətinə var",'DP və TP'!$AD:$AD,"&lt;=4")</f>
        <v>1</v>
      </c>
      <c r="M25" s="33">
        <f>COUNTIFS('DP və TP'!$B:$B,B25,
'DP və TP'!$K:$K,"Tapşırıqların İcrasına Nəzarət platforması üzrə",
'DP və TP'!$AB:$AB,"Gecikmə",'DP və TP'!$AD:$AD,"&lt;=4")</f>
        <v>0</v>
      </c>
      <c r="N25" s="33">
        <f>COUNTIFS('DP və TP'!$B:$B,B25,
'DP və TP'!$K:$K,"Tapşırıqların İcrasına Nəzarət platforması üzrə",
'DP və TP'!$AB:$AB,"İcra olunmayıb",'DP və TP'!$AD:$AD,"&lt;=4")</f>
        <v>0</v>
      </c>
      <c r="O25" s="34">
        <f>COUNTIFS('DP və TP'!$B:$B,B25,
'DP və TP'!$K:$K,"Tapşırıqların İcrasına Nəzarət platforması üzrə",
'DP və TP'!$AB:$AB,"İcra olunmayıb, prioritet deyil",'DP və TP'!$AD:$AD,"&lt;=4")</f>
        <v>0</v>
      </c>
      <c r="P25" s="40">
        <f t="shared" si="1"/>
        <v>2</v>
      </c>
    </row>
    <row r="26" spans="1:16" ht="35.25" customHeight="1" x14ac:dyDescent="0.3">
      <c r="A26" s="22">
        <v>16</v>
      </c>
      <c r="B26" s="23" t="s">
        <v>236</v>
      </c>
      <c r="C26" s="77">
        <f>COUNTIFS('DP və TP'!$B:$B,B26,'DP və TP'!$AD:$AD,"&lt;=4")</f>
        <v>8</v>
      </c>
      <c r="D26" s="81">
        <f>COUNTIFS('DP və TP'!$B:$B,B26,'DP və TP'!$AB:$AB,"Tam icra",'DP və TP'!$AD:$AD,"&lt;=4")</f>
        <v>2</v>
      </c>
      <c r="E26" s="32">
        <f>COUNTIFS('DP və TP'!$B:$B,B26,
'DP və TP'!$AB:$AB,"Qismən icra",'DP və TP'!$AD:$AD,"&lt;=4")</f>
        <v>0</v>
      </c>
      <c r="F26" s="32">
        <f>COUNTIFS('DP və TP'!$B:$B,B26,
'DP və TP'!$AB:$AB,"İcra müddətinə var",'DP və TP'!$AD:$AD,"&lt;=4")</f>
        <v>2</v>
      </c>
      <c r="G26" s="32">
        <f>COUNTIFS('DP və TP'!$B:$B,B26,
'DP və TP'!$AB:$AB,"Gecikmə",'DP və TP'!$AD:$AD,"&lt;=4")</f>
        <v>0</v>
      </c>
      <c r="H26" s="32">
        <f>COUNTIFS('DP və TP'!$B:$B,B26,
'DP və TP'!$AB:$AB,"İcra olunmayıb",'DP və TP'!$AD:$AD,"&lt;=4")</f>
        <v>1</v>
      </c>
      <c r="I26" s="32">
        <f>COUNTIFS('DP və TP'!$B:$B,B26,
'DP və TP'!$AB:$AB,"İcra olunmayıb, prioritet deyil",'DP və TP'!$AD:$AD,"&lt;=4")</f>
        <v>3</v>
      </c>
      <c r="J26" s="33">
        <f>COUNTIFS('DP və TP'!$B:$B,B26,
'DP və TP'!$K:$K,"Tapşırıqların İcrasına Nəzarət platforması üzrə",
'DP və TP'!$AB:$AB,"Tam icra",'DP və TP'!$AD:$AD,"&lt;=4")</f>
        <v>0</v>
      </c>
      <c r="K26" s="33">
        <f>COUNTIFS('DP və TP'!$B:$B,B26,
'DP və TP'!$K:$K,"Tapşırıqların İcrasına Nəzarət platforması üzrə",
'DP və TP'!$AB:$AB,"Qismən icra",'DP və TP'!$AD:$AD,"&lt;=4")</f>
        <v>0</v>
      </c>
      <c r="L26" s="33">
        <f>COUNTIFS('DP və TP'!$B:$B,B26,
'DP və TP'!$K:$K,"Tapşırıqların İcrasına Nəzarət platforması üzrə",
'DP və TP'!$AB:$AB,"İcra müddətinə var",'DP və TP'!$AD:$AD,"&lt;=4")</f>
        <v>0</v>
      </c>
      <c r="M26" s="33">
        <f>COUNTIFS('DP və TP'!$B:$B,B26,
'DP və TP'!$K:$K,"Tapşırıqların İcrasına Nəzarət platforması üzrə",
'DP və TP'!$AB:$AB,"Gecikmə",'DP və TP'!$AD:$AD,"&lt;=4")</f>
        <v>0</v>
      </c>
      <c r="N26" s="33">
        <f>COUNTIFS('DP və TP'!$B:$B,B26,
'DP və TP'!$K:$K,"Tapşırıqların İcrasına Nəzarət platforması üzrə",
'DP və TP'!$AB:$AB,"İcra olunmayıb",'DP və TP'!$AD:$AD,"&lt;=4")</f>
        <v>0</v>
      </c>
      <c r="O26" s="34">
        <f>COUNTIFS('DP və TP'!$B:$B,B26,
'DP və TP'!$K:$K,"Tapşırıqların İcrasına Nəzarət platforması üzrə",
'DP və TP'!$AB:$AB,"İcra olunmayıb, prioritet deyil",'DP və TP'!$AD:$AD,"&lt;=4")</f>
        <v>0</v>
      </c>
      <c r="P26" s="30">
        <f t="shared" si="1"/>
        <v>0</v>
      </c>
    </row>
    <row r="27" spans="1:16" ht="35.25" customHeight="1" x14ac:dyDescent="0.3">
      <c r="A27" s="22">
        <v>17</v>
      </c>
      <c r="B27" s="23" t="s">
        <v>346</v>
      </c>
      <c r="C27" s="77">
        <f>COUNTIFS('DP və TP'!$B:$B,B27,'DP və TP'!$AD:$AD,"&lt;=4")</f>
        <v>12</v>
      </c>
      <c r="D27" s="81">
        <f>COUNTIFS('DP və TP'!$B:$B,B27,'DP və TP'!$AB:$AB,"Tam icra",'DP və TP'!$AD:$AD,"&lt;=4")</f>
        <v>5</v>
      </c>
      <c r="E27" s="32">
        <f>COUNTIFS('DP və TP'!$B:$B,B27,
'DP və TP'!$AB:$AB,"Qismən icra",'DP və TP'!$AD:$AD,"&lt;=4")</f>
        <v>3</v>
      </c>
      <c r="F27" s="32">
        <f>COUNTIFS('DP və TP'!$B:$B,B27,
'DP və TP'!$AB:$AB,"İcra müddətinə var",'DP və TP'!$AD:$AD,"&lt;=4")</f>
        <v>3</v>
      </c>
      <c r="G27" s="32">
        <f>COUNTIFS('DP və TP'!$B:$B,B27,
'DP və TP'!$AB:$AB,"Gecikmə",'DP və TP'!$AD:$AD,"&lt;=4")</f>
        <v>0</v>
      </c>
      <c r="H27" s="32">
        <f>COUNTIFS('DP və TP'!$B:$B,B27,
'DP və TP'!$AB:$AB,"İcra olunmayıb",'DP və TP'!$AD:$AD,"&lt;=4")</f>
        <v>0</v>
      </c>
      <c r="I27" s="32">
        <f>COUNTIFS('DP və TP'!$B:$B,B27,
'DP və TP'!$AB:$AB,"İcra olunmayıb, prioritet deyil",'DP və TP'!$AD:$AD,"&lt;=4")</f>
        <v>1</v>
      </c>
      <c r="J27" s="33">
        <f>COUNTIFS('DP və TP'!$B:$B,B27,
'DP və TP'!$K:$K,"Tapşırıqların İcrasına Nəzarət platforması üzrə",
'DP və TP'!$AB:$AB,"Tam icra",'DP və TP'!$AD:$AD,"&lt;=4")</f>
        <v>3</v>
      </c>
      <c r="K27" s="33">
        <f>COUNTIFS('DP və TP'!$B:$B,B27,
'DP və TP'!$K:$K,"Tapşırıqların İcrasına Nəzarət platforması üzrə",
'DP və TP'!$AB:$AB,"Qismən icra",'DP və TP'!$AD:$AD,"&lt;=4")</f>
        <v>2</v>
      </c>
      <c r="L27" s="33">
        <f>COUNTIFS('DP və TP'!$B:$B,B27,
'DP və TP'!$K:$K,"Tapşırıqların İcrasına Nəzarət platforması üzrə",
'DP və TP'!$AB:$AB,"İcra müddətinə var",'DP və TP'!$AD:$AD,"&lt;=4")</f>
        <v>2</v>
      </c>
      <c r="M27" s="33">
        <f>COUNTIFS('DP və TP'!$B:$B,B27,
'DP və TP'!$K:$K,"Tapşırıqların İcrasına Nəzarət platforması üzrə",
'DP və TP'!$AB:$AB,"Gecikmə",'DP və TP'!$AD:$AD,"&lt;=4")</f>
        <v>0</v>
      </c>
      <c r="N27" s="33">
        <f>COUNTIFS('DP və TP'!$B:$B,B27,
'DP və TP'!$K:$K,"Tapşırıqların İcrasına Nəzarət platforması üzrə",
'DP və TP'!$AB:$AB,"İcra olunmayıb",'DP və TP'!$AD:$AD,"&lt;=4")</f>
        <v>0</v>
      </c>
      <c r="O27" s="34">
        <f>COUNTIFS('DP və TP'!$B:$B,B27,
'DP və TP'!$K:$K,"Tapşırıqların İcrasına Nəzarət platforması üzrə",
'DP və TP'!$AB:$AB,"İcra olunmayıb, prioritet deyil",'DP və TP'!$AD:$AD,"&lt;=4")</f>
        <v>1</v>
      </c>
      <c r="P27" s="40">
        <f t="shared" si="1"/>
        <v>8</v>
      </c>
    </row>
    <row r="28" spans="1:16" ht="46.5" customHeight="1" x14ac:dyDescent="0.3">
      <c r="A28" s="22">
        <v>18</v>
      </c>
      <c r="B28" s="23" t="s">
        <v>30</v>
      </c>
      <c r="C28" s="77">
        <f>COUNTIFS('DP və TP'!$B:$B,B28,'DP və TP'!$AD:$AD,"&lt;=4")</f>
        <v>23</v>
      </c>
      <c r="D28" s="81">
        <f>COUNTIFS('DP və TP'!$B:$B,B28,'DP və TP'!$AB:$AB,"Tam icra",'DP və TP'!$AD:$AD,"&lt;=4")</f>
        <v>11</v>
      </c>
      <c r="E28" s="32">
        <f>COUNTIFS('DP və TP'!$B:$B,B28,
'DP və TP'!$AB:$AB,"Qismən icra",'DP və TP'!$AD:$AD,"&lt;=4")</f>
        <v>5</v>
      </c>
      <c r="F28" s="32">
        <f>COUNTIFS('DP və TP'!$B:$B,B28,
'DP və TP'!$AB:$AB,"İcra müddətinə var",'DP və TP'!$AD:$AD,"&lt;=4")</f>
        <v>4</v>
      </c>
      <c r="G28" s="32">
        <f>COUNTIFS('DP və TP'!$B:$B,B28,
'DP və TP'!$AB:$AB,"Gecikmə",'DP və TP'!$AD:$AD,"&lt;=4")</f>
        <v>0</v>
      </c>
      <c r="H28" s="32">
        <f>COUNTIFS('DP və TP'!$B:$B,B28,
'DP və TP'!$AB:$AB,"İcra olunmayıb",'DP və TP'!$AD:$AD,"&lt;=4")</f>
        <v>1</v>
      </c>
      <c r="I28" s="32">
        <f>COUNTIFS('DP və TP'!$B:$B,B28,
'DP və TP'!$AB:$AB,"İcra olunmayıb, prioritet deyil",'DP və TP'!$AD:$AD,"&lt;=4")</f>
        <v>2</v>
      </c>
      <c r="J28" s="33">
        <f>COUNTIFS('DP və TP'!$B:$B,B28,
'DP və TP'!$K:$K,"Tapşırıqların İcrasına Nəzarət platforması üzrə",
'DP və TP'!$AB:$AB,"Tam icra",'DP və TP'!$AD:$AD,"&lt;=4")</f>
        <v>2</v>
      </c>
      <c r="K28" s="33">
        <f>COUNTIFS('DP və TP'!$B:$B,B28,
'DP və TP'!$K:$K,"Tapşırıqların İcrasına Nəzarət platforması üzrə",
'DP və TP'!$AB:$AB,"Qismən icra",'DP və TP'!$AD:$AD,"&lt;=4")</f>
        <v>0</v>
      </c>
      <c r="L28" s="33">
        <f>COUNTIFS('DP və TP'!$B:$B,B28,
'DP və TP'!$K:$K,"Tapşırıqların İcrasına Nəzarət platforması üzrə",
'DP və TP'!$AB:$AB,"İcra müddətinə var",'DP və TP'!$AD:$AD,"&lt;=4")</f>
        <v>1</v>
      </c>
      <c r="M28" s="33">
        <f>COUNTIFS('DP və TP'!$B:$B,B28,
'DP və TP'!$K:$K,"Tapşırıqların İcrasına Nəzarət platforması üzrə",
'DP və TP'!$AB:$AB,"Gecikmə",'DP və TP'!$AD:$AD,"&lt;=4")</f>
        <v>0</v>
      </c>
      <c r="N28" s="33">
        <f>COUNTIFS('DP və TP'!$B:$B,B28,
'DP və TP'!$K:$K,"Tapşırıqların İcrasına Nəzarət platforması üzrə",
'DP və TP'!$AB:$AB,"İcra olunmayıb",'DP və TP'!$AD:$AD,"&lt;=4")</f>
        <v>0</v>
      </c>
      <c r="O28" s="34">
        <f>COUNTIFS('DP və TP'!$B:$B,B28,
'DP və TP'!$K:$K,"Tapşırıqların İcrasına Nəzarət platforması üzrə",
'DP və TP'!$AB:$AB,"İcra olunmayıb, prioritet deyil",'DP və TP'!$AD:$AD,"&lt;=4")</f>
        <v>0</v>
      </c>
      <c r="P28" s="40">
        <f t="shared" si="1"/>
        <v>3</v>
      </c>
    </row>
    <row r="29" spans="1:16" ht="21" customHeight="1" x14ac:dyDescent="0.3">
      <c r="A29" s="22">
        <v>19</v>
      </c>
      <c r="B29" s="74" t="s">
        <v>456</v>
      </c>
      <c r="C29" s="77">
        <f>COUNTIFS('DP və TP'!$B:$B,B29,'DP və TP'!$AD:$AD,"&lt;=4")</f>
        <v>12</v>
      </c>
      <c r="D29" s="81">
        <f>COUNTIFS('DP və TP'!$B:$B,B29,'DP və TP'!$AB:$AB,"Tam icra",'DP və TP'!$AD:$AD,"&lt;=4")</f>
        <v>0</v>
      </c>
      <c r="E29" s="32">
        <f>COUNTIFS('DP və TP'!$B:$B,B29,
'DP və TP'!$AB:$AB,"Qismən icra",'DP və TP'!$AD:$AD,"&lt;=4")</f>
        <v>1</v>
      </c>
      <c r="F29" s="32">
        <f>COUNTIFS('DP və TP'!$B:$B,B29,
'DP və TP'!$AB:$AB,"İcra müddətinə var",'DP və TP'!$AD:$AD,"&lt;=4")</f>
        <v>3</v>
      </c>
      <c r="G29" s="32">
        <f>COUNTIFS('DP və TP'!$B:$B,B29,
'DP və TP'!$AB:$AB,"Gecikmə",'DP və TP'!$AD:$AD,"&lt;=4")</f>
        <v>1</v>
      </c>
      <c r="H29" s="32">
        <f>COUNTIFS('DP və TP'!$B:$B,B29,
'DP və TP'!$AB:$AB,"İcra olunmayıb",'DP və TP'!$AD:$AD,"&lt;=4")</f>
        <v>3</v>
      </c>
      <c r="I29" s="32">
        <f>COUNTIFS('DP və TP'!$B:$B,B29,
'DP və TP'!$AB:$AB,"İcra olunmayıb, prioritet deyil",'DP və TP'!$AD:$AD,"&lt;=4")</f>
        <v>4</v>
      </c>
      <c r="J29" s="33">
        <f>COUNTIFS('DP və TP'!$B:$B,B29,
'DP və TP'!$K:$K,"Tapşırıqların İcrasına Nəzarət platforması üzrə",
'DP və TP'!$AB:$AB,"Tam icra",'DP və TP'!$AD:$AD,"&lt;=4")</f>
        <v>0</v>
      </c>
      <c r="K29" s="33">
        <f>COUNTIFS('DP və TP'!$B:$B,B29,
'DP və TP'!$K:$K,"Tapşırıqların İcrasına Nəzarət platforması üzrə",
'DP və TP'!$AB:$AB,"Qismən icra",'DP və TP'!$AD:$AD,"&lt;=4")</f>
        <v>0</v>
      </c>
      <c r="L29" s="33">
        <f>COUNTIFS('DP və TP'!$B:$B,B29,
'DP və TP'!$K:$K,"Tapşırıqların İcrasına Nəzarət platforması üzrə",
'DP və TP'!$AB:$AB,"İcra müddətinə var",'DP və TP'!$AD:$AD,"&lt;=4")</f>
        <v>0</v>
      </c>
      <c r="M29" s="33">
        <f>COUNTIFS('DP və TP'!$B:$B,B29,
'DP və TP'!$K:$K,"Tapşırıqların İcrasına Nəzarət platforması üzrə",
'DP və TP'!$AB:$AB,"Gecikmə",'DP və TP'!$AD:$AD,"&lt;=4")</f>
        <v>0</v>
      </c>
      <c r="N29" s="33">
        <f>COUNTIFS('DP və TP'!$B:$B,B29,
'DP və TP'!$K:$K,"Tapşırıqların İcrasına Nəzarət platforması üzrə",
'DP və TP'!$AB:$AB,"İcra olunmayıb",'DP və TP'!$AD:$AD,"&lt;=4")</f>
        <v>0</v>
      </c>
      <c r="O29" s="34">
        <f>COUNTIFS('DP və TP'!$B:$B,B29,
'DP və TP'!$K:$K,"Tapşırıqların İcrasına Nəzarət platforması üzrə",
'DP və TP'!$AB:$AB,"İcra olunmayıb, prioritet deyil",'DP və TP'!$AD:$AD,"&lt;=4")</f>
        <v>0</v>
      </c>
      <c r="P29" s="30">
        <f t="shared" si="1"/>
        <v>0</v>
      </c>
    </row>
    <row r="30" spans="1:16" ht="27" customHeight="1" x14ac:dyDescent="0.3">
      <c r="A30" s="22">
        <v>20</v>
      </c>
      <c r="B30" s="23" t="s">
        <v>139</v>
      </c>
      <c r="C30" s="77">
        <f>COUNTIFS('DP və TP'!$B:$B,B30,'DP və TP'!$AD:$AD,"&lt;=4")</f>
        <v>2</v>
      </c>
      <c r="D30" s="81">
        <f>COUNTIFS('DP və TP'!$B:$B,B30,'DP və TP'!$AB:$AB,"Tam icra",'DP və TP'!$AD:$AD,"&lt;=4")</f>
        <v>1</v>
      </c>
      <c r="E30" s="32">
        <f>COUNTIFS('DP və TP'!$B:$B,B30,
'DP və TP'!$AB:$AB,"Qismən icra",'DP və TP'!$AD:$AD,"&lt;=4")</f>
        <v>0</v>
      </c>
      <c r="F30" s="32">
        <f>COUNTIFS('DP və TP'!$B:$B,B30,
'DP və TP'!$AB:$AB,"İcra müddətinə var",'DP və TP'!$AD:$AD,"&lt;=4")</f>
        <v>0</v>
      </c>
      <c r="G30" s="32">
        <f>COUNTIFS('DP və TP'!$B:$B,B30,
'DP və TP'!$AB:$AB,"Gecikmə",'DP və TP'!$AD:$AD,"&lt;=4")</f>
        <v>0</v>
      </c>
      <c r="H30" s="32">
        <f>COUNTIFS('DP və TP'!$B:$B,B30,
'DP və TP'!$AB:$AB,"İcra olunmayıb",'DP və TP'!$AD:$AD,"&lt;=4")</f>
        <v>1</v>
      </c>
      <c r="I30" s="32">
        <f>COUNTIFS('DP və TP'!$B:$B,B30,
'DP və TP'!$AB:$AB,"İcra olunmayıb, prioritet deyil",'DP və TP'!$AD:$AD,"&lt;=4")</f>
        <v>0</v>
      </c>
      <c r="J30" s="33">
        <f>COUNTIFS('DP və TP'!$B:$B,B30,
'DP və TP'!$K:$K,"Tapşırıqların İcrasına Nəzarət platforması üzrə",
'DP və TP'!$AB:$AB,"Tam icra",'DP və TP'!$AD:$AD,"&lt;=4")</f>
        <v>0</v>
      </c>
      <c r="K30" s="33">
        <f>COUNTIFS('DP və TP'!$B:$B,B30,
'DP və TP'!$K:$K,"Tapşırıqların İcrasına Nəzarət platforması üzrə",
'DP və TP'!$AB:$AB,"Qismən icra",'DP və TP'!$AD:$AD,"&lt;=4")</f>
        <v>0</v>
      </c>
      <c r="L30" s="33">
        <f>COUNTIFS('DP və TP'!$B:$B,B30,
'DP və TP'!$K:$K,"Tapşırıqların İcrasına Nəzarət platforması üzrə",
'DP və TP'!$AB:$AB,"İcra müddətinə var",'DP və TP'!$AD:$AD,"&lt;=4")</f>
        <v>0</v>
      </c>
      <c r="M30" s="33">
        <f>COUNTIFS('DP və TP'!$B:$B,B30,
'DP və TP'!$K:$K,"Tapşırıqların İcrasına Nəzarət platforması üzrə",
'DP və TP'!$AB:$AB,"Gecikmə",'DP və TP'!$AD:$AD,"&lt;=4")</f>
        <v>0</v>
      </c>
      <c r="N30" s="33">
        <f>COUNTIFS('DP və TP'!$B:$B,B30,
'DP və TP'!$K:$K,"Tapşırıqların İcrasına Nəzarət platforması üzrə",
'DP və TP'!$AB:$AB,"İcra olunmayıb",'DP və TP'!$AD:$AD,"&lt;=4")</f>
        <v>1</v>
      </c>
      <c r="O30" s="34">
        <f>COUNTIFS('DP və TP'!$B:$B,B30,
'DP və TP'!$K:$K,"Tapşırıqların İcrasına Nəzarət platforması üzrə",
'DP və TP'!$AB:$AB,"İcra olunmayıb, prioritet deyil",'DP və TP'!$AD:$AD,"&lt;=4")</f>
        <v>0</v>
      </c>
      <c r="P30" s="40">
        <f t="shared" si="1"/>
        <v>1</v>
      </c>
    </row>
    <row r="31" spans="1:16" ht="31.5" customHeight="1" x14ac:dyDescent="0.3">
      <c r="A31" s="22">
        <v>21</v>
      </c>
      <c r="B31" s="23" t="s">
        <v>421</v>
      </c>
      <c r="C31" s="77">
        <f>COUNTIFS('DP və TP'!$B:$B,B31,'DP və TP'!$AD:$AD,"&lt;=4")</f>
        <v>1</v>
      </c>
      <c r="D31" s="81">
        <f>COUNTIFS('DP və TP'!$B:$B,B31,'DP və TP'!$AB:$AB,"Tam icra",'DP və TP'!$AD:$AD,"&lt;=4")</f>
        <v>0</v>
      </c>
      <c r="E31" s="32">
        <f>COUNTIFS('DP və TP'!$B:$B,B31,
'DP və TP'!$AB:$AB,"Qismən icra",'DP və TP'!$AD:$AD,"&lt;=4")</f>
        <v>0</v>
      </c>
      <c r="F31" s="32">
        <f>COUNTIFS('DP və TP'!$B:$B,B31,
'DP və TP'!$AB:$AB,"İcra müddətinə var",'DP və TP'!$AD:$AD,"&lt;=4")</f>
        <v>0</v>
      </c>
      <c r="G31" s="32">
        <f>COUNTIFS('DP və TP'!$B:$B,B31,
'DP və TP'!$AB:$AB,"Gecikmə",'DP və TP'!$AD:$AD,"&lt;=4")</f>
        <v>0</v>
      </c>
      <c r="H31" s="32">
        <f>COUNTIFS('DP və TP'!$B:$B,B31,
'DP və TP'!$AB:$AB,"İcra olunmayıb",'DP və TP'!$AD:$AD,"&lt;=4")</f>
        <v>0</v>
      </c>
      <c r="I31" s="32">
        <f>COUNTIFS('DP və TP'!$B:$B,B31,
'DP və TP'!$AB:$AB,"İcra olunmayıb, prioritet deyil",'DP və TP'!$AD:$AD,"&lt;=4")</f>
        <v>1</v>
      </c>
      <c r="J31" s="33">
        <f>COUNTIFS('DP və TP'!$B:$B,B31,
'DP və TP'!$K:$K,"Tapşırıqların İcrasına Nəzarət platforması üzrə",
'DP və TP'!$AB:$AB,"Tam icra",'DP və TP'!$AD:$AD,"&lt;=4")</f>
        <v>0</v>
      </c>
      <c r="K31" s="33">
        <f>COUNTIFS('DP və TP'!$B:$B,B31,
'DP və TP'!$K:$K,"Tapşırıqların İcrasına Nəzarət platforması üzrə",
'DP və TP'!$AB:$AB,"Qismən icra",'DP və TP'!$AD:$AD,"&lt;=4")</f>
        <v>0</v>
      </c>
      <c r="L31" s="33">
        <f>COUNTIFS('DP və TP'!$B:$B,B31,
'DP və TP'!$K:$K,"Tapşırıqların İcrasına Nəzarət platforması üzrə",
'DP və TP'!$AB:$AB,"İcra müddətinə var",'DP və TP'!$AD:$AD,"&lt;=4")</f>
        <v>0</v>
      </c>
      <c r="M31" s="33">
        <f>COUNTIFS('DP və TP'!$B:$B,B31,
'DP və TP'!$K:$K,"Tapşırıqların İcrasına Nəzarət platforması üzrə",
'DP və TP'!$AB:$AB,"Gecikmə",'DP və TP'!$AD:$AD,"&lt;=4")</f>
        <v>0</v>
      </c>
      <c r="N31" s="33">
        <f>COUNTIFS('DP və TP'!$B:$B,B31,
'DP və TP'!$K:$K,"Tapşırıqların İcrasına Nəzarət platforması üzrə",
'DP və TP'!$AB:$AB,"İcra olunmayıb",'DP və TP'!$AD:$AD,"&lt;=4")</f>
        <v>0</v>
      </c>
      <c r="O31" s="34">
        <f>COUNTIFS('DP və TP'!$B:$B,B31,
'DP və TP'!$K:$K,"Tapşırıqların İcrasına Nəzarət platforması üzrə",
'DP və TP'!$AB:$AB,"İcra olunmayıb, prioritet deyil",'DP və TP'!$AD:$AD,"&lt;=4")</f>
        <v>1</v>
      </c>
      <c r="P31" s="43">
        <f t="shared" si="1"/>
        <v>1</v>
      </c>
    </row>
    <row r="32" spans="1:16" ht="29.25" customHeight="1" x14ac:dyDescent="0.3">
      <c r="A32" s="22">
        <v>22</v>
      </c>
      <c r="B32" s="23" t="s">
        <v>129</v>
      </c>
      <c r="C32" s="77">
        <f>COUNTIFS('DP və TP'!$B:$B,B32,'DP və TP'!$AD:$AD,"&lt;=4")</f>
        <v>4</v>
      </c>
      <c r="D32" s="81">
        <f>COUNTIFS('DP və TP'!$B:$B,B32,'DP və TP'!$AB:$AB,"Tam icra",'DP və TP'!$AD:$AD,"&lt;=4")</f>
        <v>1</v>
      </c>
      <c r="E32" s="32">
        <f>COUNTIFS('DP və TP'!$B:$B,B32,
'DP və TP'!$AB:$AB,"Qismən icra",'DP və TP'!$AD:$AD,"&lt;=4")</f>
        <v>0</v>
      </c>
      <c r="F32" s="32">
        <f>COUNTIFS('DP və TP'!$B:$B,B32,
'DP və TP'!$AB:$AB,"İcra müddətinə var",'DP və TP'!$AD:$AD,"&lt;=4")</f>
        <v>2</v>
      </c>
      <c r="G32" s="32">
        <f>COUNTIFS('DP və TP'!$B:$B,B32,
'DP və TP'!$AB:$AB,"Gecikmə",'DP və TP'!$AD:$AD,"&lt;=4")</f>
        <v>0</v>
      </c>
      <c r="H32" s="32">
        <f>COUNTIFS('DP və TP'!$B:$B,B32,
'DP və TP'!$AB:$AB,"İcra olunmayıb",'DP və TP'!$AD:$AD,"&lt;=4")</f>
        <v>0</v>
      </c>
      <c r="I32" s="32">
        <f>COUNTIFS('DP və TP'!$B:$B,B32,
'DP və TP'!$AB:$AB,"İcra olunmayıb, prioritet deyil",'DP və TP'!$AD:$AD,"&lt;=4")</f>
        <v>1</v>
      </c>
      <c r="J32" s="33">
        <f>COUNTIFS('DP və TP'!$B:$B,B32,
'DP və TP'!$K:$K,"Tapşırıqların İcrasına Nəzarət platforması üzrə",
'DP və TP'!$AB:$AB,"Tam icra",'DP və TP'!$AD:$AD,"&lt;=4")</f>
        <v>0</v>
      </c>
      <c r="K32" s="33">
        <f>COUNTIFS('DP və TP'!$B:$B,B32,
'DP və TP'!$K:$K,"Tapşırıqların İcrasına Nəzarət platforması üzrə",
'DP və TP'!$AB:$AB,"Qismən icra",'DP və TP'!$AD:$AD,"&lt;=4")</f>
        <v>0</v>
      </c>
      <c r="L32" s="33">
        <f>COUNTIFS('DP və TP'!$B:$B,B32,
'DP və TP'!$K:$K,"Tapşırıqların İcrasına Nəzarət platforması üzrə",
'DP və TP'!$AB:$AB,"İcra müddətinə var",'DP və TP'!$AD:$AD,"&lt;=4")</f>
        <v>0</v>
      </c>
      <c r="M32" s="33">
        <f>COUNTIFS('DP və TP'!$B:$B,B32,
'DP və TP'!$K:$K,"Tapşırıqların İcrasına Nəzarət platforması üzrə",
'DP və TP'!$AB:$AB,"Gecikmə",'DP və TP'!$AD:$AD,"&lt;=4")</f>
        <v>0</v>
      </c>
      <c r="N32" s="33">
        <f>COUNTIFS('DP və TP'!$B:$B,B32,
'DP və TP'!$K:$K,"Tapşırıqların İcrasına Nəzarət platforması üzrə",
'DP və TP'!$AB:$AB,"İcra olunmayıb",'DP və TP'!$AD:$AD,"&lt;=4")</f>
        <v>0</v>
      </c>
      <c r="O32" s="34">
        <f>COUNTIFS('DP və TP'!$B:$B,B32,
'DP və TP'!$K:$K,"Tapşırıqların İcrasına Nəzarət platforması üzrə",
'DP və TP'!$AB:$AB,"İcra olunmayıb, prioritet deyil",'DP və TP'!$AD:$AD,"&lt;=4")</f>
        <v>0</v>
      </c>
      <c r="P32" s="40">
        <f t="shared" si="1"/>
        <v>0</v>
      </c>
    </row>
    <row r="33" spans="1:16" ht="21.75" customHeight="1" x14ac:dyDescent="0.3">
      <c r="A33" s="22">
        <v>23</v>
      </c>
      <c r="B33" s="23" t="s">
        <v>544</v>
      </c>
      <c r="C33" s="77">
        <f>COUNTIFS('DP və TP'!$B:$B,B33,'DP və TP'!$AD:$AD,"&lt;=4")</f>
        <v>4</v>
      </c>
      <c r="D33" s="81">
        <f>COUNTIFS('DP və TP'!$B:$B,B33,'DP və TP'!$AB:$AB,"Tam icra",'DP və TP'!$AD:$AD,"&lt;=4")</f>
        <v>4</v>
      </c>
      <c r="E33" s="32">
        <f>COUNTIFS('DP və TP'!$B:$B,B33,
'DP və TP'!$AB:$AB,"Qismən icra",'DP və TP'!$AD:$AD,"&lt;=4")</f>
        <v>0</v>
      </c>
      <c r="F33" s="32">
        <f>COUNTIFS('DP və TP'!$B:$B,B33,
'DP və TP'!$AB:$AB,"İcra müddətinə var",'DP və TP'!$AD:$AD,"&lt;=4")</f>
        <v>0</v>
      </c>
      <c r="G33" s="32">
        <f>COUNTIFS('DP və TP'!$B:$B,B33,
'DP və TP'!$AB:$AB,"Gecikmə",'DP və TP'!$AD:$AD,"&lt;=4")</f>
        <v>0</v>
      </c>
      <c r="H33" s="32">
        <f>COUNTIFS('DP və TP'!$B:$B,B33,
'DP və TP'!$AB:$AB,"İcra olunmayıb",'DP və TP'!$AD:$AD,"&lt;=4")</f>
        <v>0</v>
      </c>
      <c r="I33" s="32">
        <f>COUNTIFS('DP və TP'!$B:$B,B33,
'DP və TP'!$AB:$AB,"İcra olunmayıb, prioritet deyil",'DP və TP'!$AD:$AD,"&lt;=4")</f>
        <v>0</v>
      </c>
      <c r="J33" s="33">
        <f>COUNTIFS('DP və TP'!$B:$B,B33,
'DP və TP'!$K:$K,"Tapşırıqların İcrasına Nəzarət platforması üzrə",
'DP və TP'!$AB:$AB,"Tam icra",'DP və TP'!$AD:$AD,"&lt;=4")</f>
        <v>2</v>
      </c>
      <c r="K33" s="33">
        <f>COUNTIFS('DP və TP'!$B:$B,B33,
'DP və TP'!$K:$K,"Tapşırıqların İcrasına Nəzarət platforması üzrə",
'DP və TP'!$AB:$AB,"Qismən icra",'DP və TP'!$AD:$AD,"&lt;=4")</f>
        <v>0</v>
      </c>
      <c r="L33" s="33">
        <f>COUNTIFS('DP və TP'!$B:$B,B33,
'DP və TP'!$K:$K,"Tapşırıqların İcrasına Nəzarət platforması üzrə",
'DP və TP'!$AB:$AB,"İcra müddətinə var",'DP və TP'!$AD:$AD,"&lt;=4")</f>
        <v>0</v>
      </c>
      <c r="M33" s="33">
        <f>COUNTIFS('DP və TP'!$B:$B,B33,
'DP və TP'!$K:$K,"Tapşırıqların İcrasına Nəzarət platforması üzrə",
'DP və TP'!$AB:$AB,"Gecikmə",'DP və TP'!$AD:$AD,"&lt;=4")</f>
        <v>0</v>
      </c>
      <c r="N33" s="33">
        <f>COUNTIFS('DP və TP'!$B:$B,B33,
'DP və TP'!$K:$K,"Tapşırıqların İcrasına Nəzarət platforması üzrə",
'DP və TP'!$AB:$AB,"İcra olunmayıb",'DP və TP'!$AD:$AD,"&lt;=4")</f>
        <v>0</v>
      </c>
      <c r="O33" s="34">
        <f>COUNTIFS('DP və TP'!$B:$B,B33,
'DP və TP'!$K:$K,"Tapşırıqların İcrasına Nəzarət platforması üzrə",
'DP və TP'!$AB:$AB,"İcra olunmayıb, prioritet deyil",'DP və TP'!$AD:$AD,"&lt;=4")</f>
        <v>0</v>
      </c>
      <c r="P33" s="51">
        <f t="shared" si="1"/>
        <v>2</v>
      </c>
    </row>
    <row r="34" spans="1:16" ht="46.5" customHeight="1" x14ac:dyDescent="0.3">
      <c r="A34" s="22">
        <v>24</v>
      </c>
      <c r="B34" s="52" t="s">
        <v>641</v>
      </c>
      <c r="C34" s="77">
        <f>COUNTIFS('DP və TP'!$B:$B,B34,'DP və TP'!$AD:$AD,"&lt;=4")</f>
        <v>18</v>
      </c>
      <c r="D34" s="81">
        <f>COUNTIFS('DP və TP'!$B:$B,B34,'DP və TP'!$AB:$AB,"Tam icra",'DP və TP'!$AD:$AD,"&lt;=4")</f>
        <v>4</v>
      </c>
      <c r="E34" s="32">
        <f>COUNTIFS('DP və TP'!$B:$B,B34,
'DP və TP'!$AB:$AB,"Qismən icra",'DP və TP'!$AD:$AD,"&lt;=4")</f>
        <v>0</v>
      </c>
      <c r="F34" s="32">
        <f>COUNTIFS('DP və TP'!$B:$B,B34,
'DP və TP'!$AB:$AB,"İcra müddətinə var",'DP və TP'!$AD:$AD,"&lt;=4")</f>
        <v>9</v>
      </c>
      <c r="G34" s="32">
        <f>COUNTIFS('DP və TP'!$B:$B,B34,
'DP və TP'!$AB:$AB,"Gecikmə",'DP və TP'!$AD:$AD,"&lt;=4")</f>
        <v>1</v>
      </c>
      <c r="H34" s="32">
        <f>COUNTIFS('DP və TP'!$B:$B,B34,
'DP və TP'!$AB:$AB,"İcra olunmayıb",'DP və TP'!$AD:$AD,"&lt;=4")</f>
        <v>1</v>
      </c>
      <c r="I34" s="32">
        <f>COUNTIFS('DP və TP'!$B:$B,B34,
'DP və TP'!$AB:$AB,"İcra olunmayıb, prioritet deyil",'DP və TP'!$AD:$AD,"&lt;=4")</f>
        <v>3</v>
      </c>
      <c r="J34" s="33">
        <f>COUNTIFS('DP və TP'!$B:$B,B34,
'DP və TP'!$K:$K,"Tapşırıqların İcrasına Nəzarət platforması üzrə",
'DP və TP'!$AB:$AB,"Tam icra",'DP və TP'!$AD:$AD,"&lt;=4")</f>
        <v>0</v>
      </c>
      <c r="K34" s="33">
        <f>COUNTIFS('DP və TP'!$B:$B,B34,
'DP və TP'!$K:$K,"Tapşırıqların İcrasına Nəzarət platforması üzrə",
'DP və TP'!$AB:$AB,"Qismən icra",'DP və TP'!$AD:$AD,"&lt;=4")</f>
        <v>0</v>
      </c>
      <c r="L34" s="33">
        <f>COUNTIFS('DP və TP'!$B:$B,B34,
'DP və TP'!$K:$K,"Tapşırıqların İcrasına Nəzarət platforması üzrə",
'DP və TP'!$AB:$AB,"İcra müddətinə var",'DP və TP'!$AD:$AD,"&lt;=4")</f>
        <v>3</v>
      </c>
      <c r="M34" s="33">
        <f>COUNTIFS('DP və TP'!$B:$B,B34,
'DP və TP'!$K:$K,"Tapşırıqların İcrasına Nəzarət platforması üzrə",
'DP və TP'!$AB:$AB,"Gecikmə",'DP və TP'!$AD:$AD,"&lt;=4")</f>
        <v>0</v>
      </c>
      <c r="N34" s="33">
        <f>COUNTIFS('DP və TP'!$B:$B,B34,
'DP və TP'!$K:$K,"Tapşırıqların İcrasına Nəzarət platforması üzrə",
'DP və TP'!$AB:$AB,"İcra olunmayıb",'DP və TP'!$AD:$AD,"&lt;=4")</f>
        <v>0</v>
      </c>
      <c r="O34" s="34">
        <f>COUNTIFS('DP və TP'!$B:$B,B34,
'DP və TP'!$K:$K,"Tapşırıqların İcrasına Nəzarət platforması üzrə",
'DP və TP'!$AB:$AB,"İcra olunmayıb, prioritet deyil",'DP və TP'!$AD:$AD,"&lt;=4")</f>
        <v>0</v>
      </c>
      <c r="P34" s="43"/>
    </row>
    <row r="35" spans="1:16" ht="36" customHeight="1" x14ac:dyDescent="0.3">
      <c r="A35" s="22">
        <v>25</v>
      </c>
      <c r="B35" s="52" t="s">
        <v>561</v>
      </c>
      <c r="C35" s="77">
        <f>COUNTIFS('DP və TP'!$B:$B,B35,'DP və TP'!$AD:$AD,"&lt;=4")</f>
        <v>28</v>
      </c>
      <c r="D35" s="81">
        <f>COUNTIFS('DP və TP'!$B:$B,B35,'DP və TP'!$AB:$AB,"Tam icra",'DP və TP'!$AD:$AD,"&lt;=4")</f>
        <v>15</v>
      </c>
      <c r="E35" s="32">
        <f>COUNTIFS('DP və TP'!$B:$B,B35,
'DP və TP'!$AB:$AB,"Qismən icra",'DP və TP'!$AD:$AD,"&lt;=4")</f>
        <v>2</v>
      </c>
      <c r="F35" s="32">
        <f>COUNTIFS('DP və TP'!$B:$B,B35,
'DP və TP'!$AB:$AB,"İcra müddətinə var",'DP və TP'!$AD:$AD,"&lt;=4")</f>
        <v>6</v>
      </c>
      <c r="G35" s="32">
        <f>COUNTIFS('DP və TP'!$B:$B,B35,
'DP və TP'!$AB:$AB,"Gecikmə",'DP və TP'!$AD:$AD,"&lt;=4")</f>
        <v>1</v>
      </c>
      <c r="H35" s="32">
        <f>COUNTIFS('DP və TP'!$B:$B,B35,
'DP və TP'!$AB:$AB,"İcra olunmayıb",'DP və TP'!$AD:$AD,"&lt;=4")</f>
        <v>0</v>
      </c>
      <c r="I35" s="32">
        <f>COUNTIFS('DP və TP'!$B:$B,B35,
'DP və TP'!$AB:$AB,"İcra olunmayıb, prioritet deyil",'DP və TP'!$AD:$AD,"&lt;=4")</f>
        <v>4</v>
      </c>
      <c r="J35" s="33">
        <f>COUNTIFS('DP və TP'!$B:$B,B35,
'DP və TP'!$K:$K,"Tapşırıqların İcrasına Nəzarət platforması üzrə",
'DP və TP'!$AB:$AB,"Tam icra",'DP və TP'!$AD:$AD,"&lt;=4")</f>
        <v>4</v>
      </c>
      <c r="K35" s="33">
        <f>COUNTIFS('DP və TP'!$B:$B,B35,
'DP və TP'!$K:$K,"Tapşırıqların İcrasına Nəzarət platforması üzrə",
'DP və TP'!$AB:$AB,"Qismən icra",'DP və TP'!$AD:$AD,"&lt;=4")</f>
        <v>0</v>
      </c>
      <c r="L35" s="33">
        <f>COUNTIFS('DP və TP'!$B:$B,B35,
'DP və TP'!$K:$K,"Tapşırıqların İcrasına Nəzarət platforması üzrə",
'DP və TP'!$AB:$AB,"İcra müddətinə var",'DP və TP'!$AD:$AD,"&lt;=4")</f>
        <v>1</v>
      </c>
      <c r="M35" s="33">
        <f>COUNTIFS('DP və TP'!$B:$B,B35,
'DP və TP'!$K:$K,"Tapşırıqların İcrasına Nəzarət platforması üzrə",
'DP və TP'!$AB:$AB,"Gecikmə",'DP və TP'!$AD:$AD,"&lt;=4")</f>
        <v>0</v>
      </c>
      <c r="N35" s="33">
        <f>COUNTIFS('DP və TP'!$B:$B,B35,
'DP və TP'!$K:$K,"Tapşırıqların İcrasına Nəzarət platforması üzrə",
'DP və TP'!$AB:$AB,"İcra olunmayıb",'DP və TP'!$AD:$AD,"&lt;=4")</f>
        <v>0</v>
      </c>
      <c r="O35" s="34">
        <f>COUNTIFS('DP və TP'!$B:$B,B35,
'DP və TP'!$K:$K,"Tapşırıqların İcrasına Nəzarət platforması üzrə",
'DP və TP'!$AB:$AB,"İcra olunmayıb, prioritet deyil",'DP və TP'!$AD:$AD,"&lt;=4")</f>
        <v>0</v>
      </c>
      <c r="P35" s="40">
        <f>SUM(J35:O35)</f>
        <v>5</v>
      </c>
    </row>
    <row r="36" spans="1:16" ht="36" customHeight="1" x14ac:dyDescent="0.3">
      <c r="A36" s="22">
        <v>26</v>
      </c>
      <c r="B36" s="52" t="s">
        <v>685</v>
      </c>
      <c r="C36" s="77">
        <f>COUNTIFS('DP və TP'!$B:$B,B36,'DP və TP'!$AD:$AD,"&lt;=4")</f>
        <v>124</v>
      </c>
      <c r="D36" s="81">
        <f>COUNTIFS('DP və TP'!$B:$B,B36,'DP və TP'!$AB:$AB,"Tam icra",'DP və TP'!$AD:$AD,"&lt;=4")</f>
        <v>43</v>
      </c>
      <c r="E36" s="32">
        <f>COUNTIFS('DP və TP'!$B:$B,B36,
'DP və TP'!$AB:$AB,"Qismən icra",'DP və TP'!$AD:$AD,"&lt;=4")</f>
        <v>13</v>
      </c>
      <c r="F36" s="32">
        <f>COUNTIFS('DP və TP'!$B:$B,B36,
'DP və TP'!$AB:$AB,"İcra müddətinə var",'DP və TP'!$AD:$AD,"&lt;=4")</f>
        <v>36</v>
      </c>
      <c r="G36" s="32">
        <f>COUNTIFS('DP və TP'!$B:$B,B36,
'DP və TP'!$AB:$AB,"Gecikmə",'DP və TP'!$AD:$AD,"&lt;=4")</f>
        <v>7</v>
      </c>
      <c r="H36" s="32">
        <f>COUNTIFS('DP və TP'!$B:$B,B36,
'DP və TP'!$AB:$AB,"İcra olunmayıb",'DP və TP'!$AD:$AD,"&lt;=4")</f>
        <v>6</v>
      </c>
      <c r="I36" s="32">
        <f>COUNTIFS('DP və TP'!$B:$B,B36,
'DP və TP'!$AB:$AB,"İcra olunmayıb, prioritet deyil",'DP və TP'!$AD:$AD,"&lt;=4")</f>
        <v>19</v>
      </c>
      <c r="J36" s="33">
        <f>COUNTIFS('DP və TP'!$B:$B,B36,
'DP və TP'!$K:$K,"Tapşırıqların İcrasına Nəzarət platforması üzrə",
'DP və TP'!$AB:$AB,"Tam icra",'DP və TP'!$AD:$AD,"&lt;=4")</f>
        <v>3</v>
      </c>
      <c r="K36" s="33">
        <f>COUNTIFS('DP və TP'!$B:$B,B36,
'DP və TP'!$K:$K,"Tapşırıqların İcrasına Nəzarət platforması üzrə",
'DP və TP'!$AB:$AB,"Qismən icra",'DP və TP'!$AD:$AD,"&lt;=4")</f>
        <v>0</v>
      </c>
      <c r="L36" s="33">
        <f>COUNTIFS('DP və TP'!$B:$B,B36,
'DP və TP'!$K:$K,"Tapşırıqların İcrasına Nəzarət platforması üzrə",
'DP və TP'!$AB:$AB,"İcra müddətinə var",'DP və TP'!$AD:$AD,"&lt;=4")</f>
        <v>2</v>
      </c>
      <c r="M36" s="33">
        <f>COUNTIFS('DP və TP'!$B:$B,B36,
'DP və TP'!$K:$K,"Tapşırıqların İcrasına Nəzarət platforması üzrə",
'DP və TP'!$AB:$AB,"Gecikmə",'DP və TP'!$AD:$AD,"&lt;=4")</f>
        <v>0</v>
      </c>
      <c r="N36" s="33">
        <f>COUNTIFS('DP və TP'!$B:$B,B36,
'DP və TP'!$K:$K,"Tapşırıqların İcrasına Nəzarət platforması üzrə",
'DP və TP'!$AB:$AB,"İcra olunmayıb",'DP və TP'!$AD:$AD,"&lt;=4")</f>
        <v>0</v>
      </c>
      <c r="O36" s="34">
        <f>COUNTIFS('DP və TP'!$B:$B,B36,
'DP və TP'!$K:$K,"Tapşırıqların İcrasına Nəzarət platforması üzrə",
'DP və TP'!$AB:$AB,"İcra olunmayıb, prioritet deyil",'DP və TP'!$AD:$AD,"&lt;=4")</f>
        <v>2</v>
      </c>
      <c r="P36" s="40">
        <f>SUM(J36:O36)</f>
        <v>7</v>
      </c>
    </row>
    <row r="37" spans="1:16" ht="46.5" customHeight="1" x14ac:dyDescent="0.3">
      <c r="A37" s="22">
        <v>27</v>
      </c>
      <c r="B37" s="52" t="s">
        <v>681</v>
      </c>
      <c r="C37" s="77">
        <f>COUNTIFS('DP və TP'!$B:$B,B37,'DP və TP'!$AD:$AD,"&lt;=4")</f>
        <v>3</v>
      </c>
      <c r="D37" s="81">
        <f>COUNTIFS('DP və TP'!$B:$B,B37,'DP və TP'!$AB:$AB,"Tam icra",'DP və TP'!$AD:$AD,"&lt;=4")</f>
        <v>0</v>
      </c>
      <c r="E37" s="32">
        <f>COUNTIFS('DP və TP'!$B:$B,B37,
'DP və TP'!$AB:$AB,"Qismən icra",'DP və TP'!$AD:$AD,"&lt;=4")</f>
        <v>1</v>
      </c>
      <c r="F37" s="32">
        <f>COUNTIFS('DP və TP'!$B:$B,B37,
'DP və TP'!$AB:$AB,"İcra müddətinə var",'DP və TP'!$AD:$AD,"&lt;=4")</f>
        <v>1</v>
      </c>
      <c r="G37" s="32">
        <f>COUNTIFS('DP və TP'!$B:$B,B37,
'DP və TP'!$AB:$AB,"Gecikmə",'DP və TP'!$AD:$AD,"&lt;=4")</f>
        <v>0</v>
      </c>
      <c r="H37" s="32">
        <f>COUNTIFS('DP və TP'!$B:$B,B37,
'DP və TP'!$AB:$AB,"İcra olunmayıb",'DP və TP'!$AD:$AD,"&lt;=4")</f>
        <v>0</v>
      </c>
      <c r="I37" s="32">
        <f>COUNTIFS('DP və TP'!$B:$B,B37,
'DP və TP'!$AB:$AB,"İcra olunmayıb, prioritet deyil",'DP və TP'!$AD:$AD,"&lt;=4")</f>
        <v>1</v>
      </c>
      <c r="J37" s="33">
        <f>COUNTIFS('DP və TP'!$B:$B,B37,
'DP və TP'!$K:$K,"Tapşırıqların İcrasına Nəzarət platforması üzrə",
'DP və TP'!$AB:$AB,"Tam icra",'DP və TP'!$AD:$AD,"&lt;=4")</f>
        <v>0</v>
      </c>
      <c r="K37" s="33">
        <f>COUNTIFS('DP və TP'!$B:$B,B37,
'DP və TP'!$K:$K,"Tapşırıqların İcrasına Nəzarət platforması üzrə",
'DP və TP'!$AB:$AB,"Qismən icra",'DP və TP'!$AD:$AD,"&lt;=4")</f>
        <v>0</v>
      </c>
      <c r="L37" s="33">
        <f>COUNTIFS('DP və TP'!$B:$B,B37,
'DP və TP'!$K:$K,"Tapşırıqların İcrasına Nəzarət platforması üzrə",
'DP və TP'!$AB:$AB,"İcra müddətinə var",'DP və TP'!$AD:$AD,"&lt;=4")</f>
        <v>0</v>
      </c>
      <c r="M37" s="33">
        <f>COUNTIFS('DP və TP'!$B:$B,B37,
'DP və TP'!$K:$K,"Tapşırıqların İcrasına Nəzarət platforması üzrə",
'DP və TP'!$AB:$AB,"Gecikmə",'DP və TP'!$AD:$AD,"&lt;=4")</f>
        <v>0</v>
      </c>
      <c r="N37" s="33">
        <f>COUNTIFS('DP və TP'!$B:$B,B37,
'DP və TP'!$K:$K,"Tapşırıqların İcrasına Nəzarət platforması üzrə",
'DP və TP'!$AB:$AB,"İcra olunmayıb",'DP və TP'!$AD:$AD,"&lt;=4")</f>
        <v>0</v>
      </c>
      <c r="O37" s="34">
        <f>COUNTIFS('DP və TP'!$B:$B,B37,
'DP və TP'!$K:$K,"Tapşırıqların İcrasına Nəzarət platforması üzrə",
'DP və TP'!$AB:$AB,"İcra olunmayıb, prioritet deyil",'DP və TP'!$AD:$AD,"&lt;=4")</f>
        <v>0</v>
      </c>
      <c r="P37" s="40"/>
    </row>
    <row r="38" spans="1:16" ht="60.75" customHeight="1" x14ac:dyDescent="0.3">
      <c r="A38" s="22">
        <v>28</v>
      </c>
      <c r="B38" s="52" t="s">
        <v>550</v>
      </c>
      <c r="C38" s="77">
        <f>COUNTIFS('DP və TP'!$B:$B,B38,'DP və TP'!$AD:$AD,"&lt;=4")</f>
        <v>4</v>
      </c>
      <c r="D38" s="82">
        <f>COUNTIFS('DP və TP'!$B:$B,B38,'DP və TP'!$AB:$AB,"Tam icra",'DP və TP'!$AD:$AD,"&lt;=4")</f>
        <v>1</v>
      </c>
      <c r="E38" s="83">
        <f>COUNTIFS('DP və TP'!$B:$B,B38,
'DP və TP'!$AB:$AB,"Qismən icra",'DP və TP'!$AD:$AD,"&lt;=4")</f>
        <v>3</v>
      </c>
      <c r="F38" s="83">
        <f>COUNTIFS('DP və TP'!$B:$B,B38,
'DP və TP'!$AB:$AB,"İcra müddətinə var",'DP və TP'!$AD:$AD,"&lt;=4")</f>
        <v>0</v>
      </c>
      <c r="G38" s="83">
        <f>COUNTIFS('DP və TP'!$B:$B,B38,
'DP və TP'!$AB:$AB,"Gecikmə",'DP və TP'!$AD:$AD,"&lt;=4")</f>
        <v>0</v>
      </c>
      <c r="H38" s="83">
        <f>COUNTIFS('DP və TP'!$B:$B,B38,
'DP və TP'!$AB:$AB,"İcra olunmayıb",'DP və TP'!$AD:$AD,"&lt;=4")</f>
        <v>0</v>
      </c>
      <c r="I38" s="83">
        <f>COUNTIFS('DP və TP'!$B:$B,B38,
'DP və TP'!$AB:$AB,"İcra olunmayıb, prioritet deyil",'DP və TP'!$AD:$AD,"&lt;=4")</f>
        <v>0</v>
      </c>
      <c r="J38" s="54">
        <f>COUNTIFS('DP və TP'!$B:$B,B38,
'DP və TP'!$K:$K,"Tapşırıqların İcrasına Nəzarət platforması üzrə",
'DP və TP'!$AB:$AB,"Tam icra",'DP və TP'!$AD:$AD,"&lt;=4")</f>
        <v>1</v>
      </c>
      <c r="K38" s="54">
        <f>COUNTIFS('DP və TP'!$B:$B,B38,
'DP və TP'!$K:$K,"Tapşırıqların İcrasına Nəzarət platforması üzrə",
'DP və TP'!$AB:$AB,"Qismən icra",'DP və TP'!$AD:$AD,"&lt;=4")</f>
        <v>0</v>
      </c>
      <c r="L38" s="54">
        <f>COUNTIFS('DP və TP'!$B:$B,B38,
'DP və TP'!$K:$K,"Tapşırıqların İcrasına Nəzarət platforması üzrə",
'DP və TP'!$AB:$AB,"İcra müddətinə var",'DP və TP'!$AD:$AD,"&lt;=4")</f>
        <v>0</v>
      </c>
      <c r="M38" s="54">
        <f>COUNTIFS('DP və TP'!$B:$B,B38,
'DP və TP'!$K:$K,"Tapşırıqların İcrasına Nəzarət platforması üzrə",
'DP və TP'!$AB:$AB,"Gecikmə",'DP və TP'!$AD:$AD,"&lt;=4")</f>
        <v>0</v>
      </c>
      <c r="N38" s="54">
        <f>COUNTIFS('DP və TP'!$B:$B,B38,
'DP və TP'!$K:$K,"Tapşırıqların İcrasına Nəzarət platforması üzrə",
'DP və TP'!$AB:$AB,"İcra olunmayıb",'DP və TP'!$AD:$AD,"&lt;=4")</f>
        <v>0</v>
      </c>
      <c r="O38" s="55">
        <f>COUNTIFS('DP və TP'!$B:$B,B38,
'DP və TP'!$K:$K,"Tapşırıqların İcrasına Nəzarət platforması üzrə",
'DP və TP'!$AB:$AB,"İcra olunmayıb, prioritet deyil",'DP və TP'!$AD:$AD,"&lt;=4")</f>
        <v>0</v>
      </c>
      <c r="P38" s="56">
        <f>SUM(J38:O38)</f>
        <v>1</v>
      </c>
    </row>
    <row r="39" spans="1:16" ht="16.5" customHeight="1" x14ac:dyDescent="0.3">
      <c r="A39" s="153" t="s">
        <v>1088</v>
      </c>
      <c r="B39" s="153"/>
      <c r="C39" s="1">
        <f t="shared" ref="C39:I39" si="2">SUM(C11:C38)</f>
        <v>319</v>
      </c>
      <c r="D39" s="84">
        <f t="shared" si="2"/>
        <v>107</v>
      </c>
      <c r="E39" s="84">
        <f t="shared" si="2"/>
        <v>36</v>
      </c>
      <c r="F39" s="84">
        <f t="shared" si="2"/>
        <v>96</v>
      </c>
      <c r="G39" s="84">
        <f t="shared" si="2"/>
        <v>14</v>
      </c>
      <c r="H39" s="84">
        <f t="shared" si="2"/>
        <v>14</v>
      </c>
      <c r="I39" s="84">
        <f t="shared" si="2"/>
        <v>52</v>
      </c>
      <c r="J39" s="60">
        <f t="shared" ref="J39:P39" si="3">SUM(J11:J33)</f>
        <v>15</v>
      </c>
      <c r="K39" s="60">
        <f t="shared" si="3"/>
        <v>5</v>
      </c>
      <c r="L39" s="60">
        <f t="shared" si="3"/>
        <v>11</v>
      </c>
      <c r="M39" s="60">
        <f t="shared" si="3"/>
        <v>3</v>
      </c>
      <c r="N39" s="60">
        <f t="shared" si="3"/>
        <v>1</v>
      </c>
      <c r="O39" s="60">
        <f t="shared" si="3"/>
        <v>5</v>
      </c>
      <c r="P39" s="40">
        <f t="shared" si="3"/>
        <v>38</v>
      </c>
    </row>
    <row r="40" spans="1:16" ht="15.75" customHeight="1" x14ac:dyDescent="0.3">
      <c r="B40" s="62"/>
      <c r="C40" s="62"/>
    </row>
    <row r="41" spans="1:16" ht="31.5" customHeight="1" x14ac:dyDescent="0.3">
      <c r="B41" s="65"/>
      <c r="C41" s="65"/>
      <c r="D41" s="65"/>
    </row>
    <row r="42" spans="1:16" ht="27" customHeight="1" x14ac:dyDescent="0.3">
      <c r="B42" s="65"/>
      <c r="C42" s="65"/>
      <c r="D42" s="65"/>
    </row>
    <row r="43" spans="1:16" ht="25.5" customHeight="1" x14ac:dyDescent="0.3">
      <c r="B43" s="65"/>
      <c r="C43" s="65"/>
      <c r="D43" s="65"/>
    </row>
    <row r="45" spans="1:16" ht="15" customHeight="1" x14ac:dyDescent="0.3">
      <c r="B45" s="66"/>
      <c r="C45" s="66"/>
    </row>
    <row r="46" spans="1:16" ht="18" customHeight="1" x14ac:dyDescent="0.3">
      <c r="B46" s="66"/>
      <c r="C46" s="66"/>
    </row>
  </sheetData>
  <mergeCells count="6">
    <mergeCell ref="J9:P9"/>
    <mergeCell ref="A39:B39"/>
    <mergeCell ref="A9:A10"/>
    <mergeCell ref="B9:B10"/>
    <mergeCell ref="C9:C10"/>
    <mergeCell ref="D9:I9"/>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6"/>
  <sheetViews>
    <sheetView topLeftCell="A2" zoomScaleNormal="100" workbookViewId="0">
      <selection activeCell="F3" sqref="F3:F4"/>
    </sheetView>
  </sheetViews>
  <sheetFormatPr defaultColWidth="8.6640625" defaultRowHeight="15" customHeight="1" x14ac:dyDescent="0.3"/>
  <cols>
    <col min="2" max="2" width="93.44140625" customWidth="1"/>
    <col min="3" max="3" width="13.5546875" customWidth="1"/>
    <col min="4" max="4" width="9.5546875" customWidth="1"/>
    <col min="5" max="5" width="11.44140625" customWidth="1"/>
    <col min="6" max="6" width="16.6640625" customWidth="1"/>
    <col min="7" max="7" width="10.6640625" customWidth="1"/>
    <col min="8" max="8" width="12.5546875" customWidth="1"/>
    <col min="9" max="9" width="12.109375" customWidth="1"/>
    <col min="10" max="11" width="10.6640625" customWidth="1"/>
    <col min="12" max="12" width="11.5546875" customWidth="1"/>
    <col min="13" max="13" width="10.6640625" customWidth="1"/>
    <col min="14" max="14" width="11.44140625" customWidth="1"/>
    <col min="15" max="15" width="11.5546875" customWidth="1"/>
    <col min="16" max="16" width="7.5546875" customWidth="1"/>
    <col min="17" max="17" width="33.5546875" customWidth="1"/>
  </cols>
  <sheetData>
    <row r="1" spans="1:16" ht="30" customHeight="1" x14ac:dyDescent="0.3">
      <c r="A1" s="13"/>
      <c r="B1" s="14" t="s">
        <v>1072</v>
      </c>
      <c r="C1" s="14"/>
      <c r="D1" s="13"/>
      <c r="E1" s="15" t="s">
        <v>1073</v>
      </c>
      <c r="F1" s="15" t="s">
        <v>1074</v>
      </c>
      <c r="G1" s="15" t="s">
        <v>1075</v>
      </c>
      <c r="H1" s="13"/>
      <c r="I1" s="13"/>
    </row>
    <row r="2" spans="1:16" ht="30" customHeight="1" x14ac:dyDescent="0.3">
      <c r="A2" s="13"/>
      <c r="B2" s="14" t="s">
        <v>1076</v>
      </c>
      <c r="C2" s="14"/>
      <c r="D2" s="13"/>
      <c r="E2" s="16" t="s">
        <v>1077</v>
      </c>
      <c r="F2" s="16">
        <f>A38</f>
        <v>28</v>
      </c>
      <c r="G2" s="16">
        <f>SUM(G3:G4)</f>
        <v>319</v>
      </c>
      <c r="H2" s="13"/>
      <c r="I2" s="13"/>
    </row>
    <row r="3" spans="1:16" ht="30" customHeight="1" x14ac:dyDescent="0.3">
      <c r="A3" s="13"/>
      <c r="B3" s="14" t="s">
        <v>1078</v>
      </c>
      <c r="C3" s="14"/>
      <c r="D3" s="13"/>
      <c r="E3" s="16" t="s">
        <v>1079</v>
      </c>
      <c r="F3" s="17">
        <v>18</v>
      </c>
      <c r="G3" s="16">
        <f>COUNTIFS('DP və TP'!J:J,"Əsas icraçı",'DP və TP'!$AD:$AD,"&lt;=4")</f>
        <v>159</v>
      </c>
      <c r="H3" s="13"/>
      <c r="I3" s="13"/>
    </row>
    <row r="4" spans="1:16" ht="30" customHeight="1" x14ac:dyDescent="0.3">
      <c r="A4" s="13"/>
      <c r="B4" s="14" t="s">
        <v>1080</v>
      </c>
      <c r="C4" s="14"/>
      <c r="D4" s="13"/>
      <c r="E4" s="16" t="s">
        <v>1081</v>
      </c>
      <c r="F4" s="18">
        <v>19</v>
      </c>
      <c r="G4" s="16">
        <f>COUNTIFS('DP və TP'!J:J,"Digər icraçı",'DP və TP'!$AD:$AD,"&lt;=4")</f>
        <v>160</v>
      </c>
      <c r="H4" s="13"/>
      <c r="I4" s="13"/>
    </row>
    <row r="5" spans="1:16" ht="15" customHeight="1" x14ac:dyDescent="0.3">
      <c r="A5" s="13"/>
      <c r="B5" s="14" t="s">
        <v>1082</v>
      </c>
      <c r="C5" s="14"/>
      <c r="D5" s="13"/>
      <c r="E5" s="13"/>
      <c r="F5" s="13"/>
      <c r="G5" s="13"/>
      <c r="H5" s="13"/>
      <c r="I5" s="13"/>
    </row>
    <row r="8" spans="1:16" ht="15.75" customHeight="1" x14ac:dyDescent="0.3"/>
    <row r="9" spans="1:16" ht="35.25" customHeight="1" x14ac:dyDescent="0.3">
      <c r="A9" s="154" t="s">
        <v>1083</v>
      </c>
      <c r="B9" s="155" t="s">
        <v>1084</v>
      </c>
      <c r="C9" s="158" t="s">
        <v>1085</v>
      </c>
      <c r="D9" s="157" t="s">
        <v>1086</v>
      </c>
      <c r="E9" s="157"/>
      <c r="F9" s="157"/>
      <c r="G9" s="157"/>
      <c r="H9" s="157"/>
      <c r="I9" s="157"/>
      <c r="J9" s="152" t="s">
        <v>1087</v>
      </c>
      <c r="K9" s="152"/>
      <c r="L9" s="152"/>
      <c r="M9" s="152"/>
      <c r="N9" s="152"/>
      <c r="O9" s="152"/>
      <c r="P9" s="152"/>
    </row>
    <row r="10" spans="1:16" ht="61.5" customHeight="1" x14ac:dyDescent="0.3">
      <c r="A10" s="154"/>
      <c r="B10" s="155"/>
      <c r="C10" s="158"/>
      <c r="D10" s="70" t="s">
        <v>43</v>
      </c>
      <c r="E10" s="21" t="s">
        <v>42</v>
      </c>
      <c r="F10" s="21" t="s">
        <v>79</v>
      </c>
      <c r="G10" s="21" t="s">
        <v>185</v>
      </c>
      <c r="H10" s="21" t="s">
        <v>75</v>
      </c>
      <c r="I10" s="21" t="s">
        <v>91</v>
      </c>
      <c r="J10" s="76" t="s">
        <v>43</v>
      </c>
      <c r="K10" s="76" t="s">
        <v>42</v>
      </c>
      <c r="L10" s="76" t="s">
        <v>79</v>
      </c>
      <c r="M10" s="76" t="s">
        <v>185</v>
      </c>
      <c r="N10" s="76" t="s">
        <v>75</v>
      </c>
      <c r="O10" s="76" t="s">
        <v>91</v>
      </c>
      <c r="P10" s="2" t="s">
        <v>1088</v>
      </c>
    </row>
    <row r="11" spans="1:16" ht="36.75" customHeight="1" x14ac:dyDescent="0.3">
      <c r="A11" s="22">
        <v>1</v>
      </c>
      <c r="B11" s="23" t="s">
        <v>278</v>
      </c>
      <c r="C11" s="77">
        <f>COUNTIFS('DP və TP'!$B:$B,B11,'DP və TP'!$AD:$AD,"&lt;=4")</f>
        <v>12</v>
      </c>
      <c r="D11" s="78">
        <f>COUNTIFS('DP və TP'!$B:$B,B11,'DP və TP'!$AC:$AC,"Tam icra",'DP və TP'!$AD:$AD,"&lt;=4")</f>
        <v>0</v>
      </c>
      <c r="E11" s="26">
        <f>COUNTIFS('DP və TP'!$B:$B,B11,
'DP və TP'!$AC:$AC,"Qismən icra",'DP və TP'!$AD:$AD,"&lt;=4")</f>
        <v>0</v>
      </c>
      <c r="F11" s="26">
        <f>COUNTIFS('DP və TP'!$B:$B,B11,
'DP və TP'!$AC:$AC,"İcra müddətinə var",'DP və TP'!$AD:$AD,"&lt;=4")</f>
        <v>0</v>
      </c>
      <c r="G11" s="26">
        <f>COUNTIFS('DP və TP'!$B:$B,B11,
'DP və TP'!$AC:$AC,"Gecikmə",'DP və TP'!$AD:$AD,"&lt;=4")</f>
        <v>0</v>
      </c>
      <c r="H11" s="26">
        <f>COUNTIFS('DP və TP'!$B:$B,B11,
'DP və TP'!$AC:$AC,"İcra olunmayıb",'DP və TP'!$AD:$AD,"&lt;=4")</f>
        <v>0</v>
      </c>
      <c r="I11" s="26">
        <f>COUNTIFS('DP və TP'!$B:$B,B11,
'DP və TP'!$AC:$AC,"İcra olunmayıb, prioritet deyil",'DP və TP'!$AD:$AD,"&lt;=4")</f>
        <v>0</v>
      </c>
      <c r="J11" s="79">
        <f>COUNTIFS('DP və TP'!$B:$B,B11,
'DP və TP'!$K:$K,"Tapşırıqların İcrasına Nəzarət platforması üzrə",
'DP və TP'!$AC:$AC,"Tam icra",'DP və TP'!$AD:$AD,"&lt;=4")</f>
        <v>0</v>
      </c>
      <c r="K11" s="79">
        <f>COUNTIFS('DP və TP'!$B:$B,B11,
'DP və TP'!$K:$K,"Tapşırıqların İcrasına Nəzarət platforması üzrə",
'DP və TP'!$AC:$AC,"Qismən icra",'DP və TP'!$AD:$AD,"&lt;=4")</f>
        <v>0</v>
      </c>
      <c r="L11" s="79">
        <f>COUNTIFS('DP və TP'!$B:$B,B11,
'DP və TP'!$K:$K,"Tapşırıqların İcrasına Nəzarət platforması üzrə",
'DP və TP'!$AC:$AC,"İcra müddətinə var",'DP və TP'!$AD:$AD,"&lt;=4")</f>
        <v>0</v>
      </c>
      <c r="M11" s="79">
        <f>COUNTIFS('DP və TP'!$B:$B,B11,
'DP və TP'!$K:$K,"Tapşırıqların İcrasına Nəzarət platforması üzrə",
'DP və TP'!$AC:$AC,"Gecikmə",'DP və TP'!$AD:$AD,"&lt;=4")</f>
        <v>0</v>
      </c>
      <c r="N11" s="79">
        <f>COUNTIFS('DP və TP'!$B:$B,B11,
'DP və TP'!$K:$K,"Tapşırıqların İcrasına Nəzarət platforması üzrə",
'DP və TP'!$AC:$AC,"İcra olunmayıb",'DP və TP'!$AD:$AD,"&lt;=4")</f>
        <v>0</v>
      </c>
      <c r="O11" s="80">
        <f>COUNTIFS('DP və TP'!$B:$B,B11,
'DP və TP'!$K:$K,"Tapşırıqların İcrasına Nəzarət platforması üzrə",
'DP və TP'!$AC:$AC,"İcra olunmayıb, prioritet deyil",'DP və TP'!$AD:$AD,"&lt;=4")</f>
        <v>0</v>
      </c>
      <c r="P11" s="30">
        <f>SUM(J11:O11)</f>
        <v>0</v>
      </c>
    </row>
    <row r="12" spans="1:16" ht="36.75" customHeight="1" x14ac:dyDescent="0.3">
      <c r="A12" s="22">
        <v>2</v>
      </c>
      <c r="B12" s="23" t="s">
        <v>523</v>
      </c>
      <c r="C12" s="77">
        <f>COUNTIFS('DP və TP'!$B:$B,B12,'DP və TP'!$AD:$AD,"&lt;=4")</f>
        <v>5</v>
      </c>
      <c r="D12" s="81">
        <f>COUNTIFS('DP və TP'!$B:$B,B12,'DP və TP'!$AC:$AC,"Tam icra",'DP və TP'!$AD:$AD,"&lt;=4")</f>
        <v>0</v>
      </c>
      <c r="E12" s="32">
        <f>COUNTIFS('DP və TP'!$B:$B,B12,
'DP və TP'!$AC:$AC,"Qismən icra",'DP və TP'!$AD:$AD,"&lt;=4")</f>
        <v>0</v>
      </c>
      <c r="F12" s="32">
        <f>COUNTIFS('DP və TP'!$B:$B,B12,
'DP və TP'!$AC:$AC,"İcra müddətinə var",'DP və TP'!$AD:$AD,"&lt;=4")</f>
        <v>0</v>
      </c>
      <c r="G12" s="32">
        <f>COUNTIFS('DP və TP'!$B:$B,B12,
'DP və TP'!$AC:$AC,"Gecikmə",'DP və TP'!$AD:$AD,"&lt;=4")</f>
        <v>0</v>
      </c>
      <c r="H12" s="32">
        <f>COUNTIFS('DP və TP'!$B:$B,B12,
'DP və TP'!$AC:$AC,"İcra olunmayıb",'DP və TP'!$AD:$AD,"&lt;=4")</f>
        <v>0</v>
      </c>
      <c r="I12" s="32">
        <f>COUNTIFS('DP və TP'!$B:$B,B12,
'DP və TP'!$AC:$AC,"İcra olunmayıb, prioritet deyil",'DP və TP'!$AD:$AD,"&lt;=4")</f>
        <v>0</v>
      </c>
      <c r="J12" s="33">
        <f>COUNTIFS('DP və TP'!$B:$B,B12,
'DP və TP'!$K:$K,"Tapşırıqların İcrasına Nəzarət platforması üzrə",
'DP və TP'!$AC:$AC,"Tam icra",'DP və TP'!$AD:$AD,"&lt;=4")</f>
        <v>0</v>
      </c>
      <c r="K12" s="33">
        <f>COUNTIFS('DP və TP'!$B:$B,B12,
'DP və TP'!$K:$K,"Tapşırıqların İcrasına Nəzarət platforması üzrə",
'DP və TP'!$AC:$AC,"Qismən icra",'DP və TP'!$AD:$AD,"&lt;=4")</f>
        <v>0</v>
      </c>
      <c r="L12" s="33">
        <f>COUNTIFS('DP və TP'!$B:$B,B12,
'DP və TP'!$K:$K,"Tapşırıqların İcrasına Nəzarət platforması üzrə",
'DP və TP'!$AC:$AC,"İcra müddətinə var",'DP və TP'!$AD:$AD,"&lt;=4")</f>
        <v>0</v>
      </c>
      <c r="M12" s="33">
        <f>COUNTIFS('DP və TP'!$B:$B,B12,
'DP və TP'!$K:$K,"Tapşırıqların İcrasına Nəzarət platforması üzrə",
'DP və TP'!$AC:$AC,"Gecikmə",'DP və TP'!$AD:$AD,"&lt;=4")</f>
        <v>0</v>
      </c>
      <c r="N12" s="33">
        <f>COUNTIFS('DP və TP'!$B:$B,B12,
'DP və TP'!$K:$K,"Tapşırıqların İcrasına Nəzarət platforması üzrə",
'DP və TP'!$AC:$AC,"İcra olunmayıb",'DP və TP'!$AD:$AD,"&lt;=4")</f>
        <v>0</v>
      </c>
      <c r="O12" s="34">
        <f>COUNTIFS('DP və TP'!$B:$B,B12,
'DP və TP'!$K:$K,"Tapşırıqların İcrasına Nəzarət platforması üzrə",
'DP və TP'!$AC:$AC,"İcra olunmayıb, prioritet deyil",'DP və TP'!$AD:$AD,"&lt;=4")</f>
        <v>0</v>
      </c>
      <c r="P12" s="30"/>
    </row>
    <row r="13" spans="1:16" ht="78" customHeight="1" x14ac:dyDescent="0.3">
      <c r="A13" s="22">
        <v>3</v>
      </c>
      <c r="B13" s="23" t="s">
        <v>436</v>
      </c>
      <c r="C13" s="77">
        <f>COUNTIFS('DP və TP'!$B:$B,B13,'DP və TP'!$AD:$AD,"&lt;=4")</f>
        <v>1</v>
      </c>
      <c r="D13" s="81">
        <f>COUNTIFS('DP və TP'!$B:$B,B13,'DP və TP'!$AC:$AC,"Tam icra",'DP və TP'!$AD:$AD,"&lt;=4")</f>
        <v>0</v>
      </c>
      <c r="E13" s="32">
        <f>COUNTIFS('DP və TP'!$B:$B,B13,
'DP və TP'!$AC:$AC,"Qismən icra",'DP və TP'!$AD:$AD,"&lt;=4")</f>
        <v>0</v>
      </c>
      <c r="F13" s="32">
        <f>COUNTIFS('DP və TP'!$B:$B,B13,
'DP və TP'!$AC:$AC,"İcra müddətinə var",'DP və TP'!$AD:$AD,"&lt;=4")</f>
        <v>0</v>
      </c>
      <c r="G13" s="32">
        <f>COUNTIFS('DP və TP'!$B:$B,B13,
'DP və TP'!$AC:$AC,"Gecikmə",'DP və TP'!$AD:$AD,"&lt;=4")</f>
        <v>0</v>
      </c>
      <c r="H13" s="32">
        <f>COUNTIFS('DP və TP'!$B:$B,B13,
'DP və TP'!$AC:$AC,"İcra olunmayıb",'DP və TP'!$AD:$AD,"&lt;=4")</f>
        <v>0</v>
      </c>
      <c r="I13" s="32">
        <f>COUNTIFS('DP və TP'!$B:$B,B13,
'DP və TP'!$AC:$AC,"İcra olunmayıb, prioritet deyil",'DP və TP'!$AD:$AD,"&lt;=4")</f>
        <v>0</v>
      </c>
      <c r="J13" s="33">
        <f>COUNTIFS('DP və TP'!$B:$B,B13,
'DP və TP'!$K:$K,"Tapşırıqların İcrasına Nəzarət platforması üzrə",
'DP və TP'!$AC:$AC,"Tam icra",'DP və TP'!$AD:$AD,"&lt;=4")</f>
        <v>0</v>
      </c>
      <c r="K13" s="33">
        <f>COUNTIFS('DP və TP'!$B:$B,B13,
'DP və TP'!$K:$K,"Tapşırıqların İcrasına Nəzarət platforması üzrə",
'DP və TP'!$AC:$AC,"Qismən icra",'DP və TP'!$AD:$AD,"&lt;=4")</f>
        <v>0</v>
      </c>
      <c r="L13" s="33">
        <f>COUNTIFS('DP və TP'!$B:$B,B13,
'DP və TP'!$K:$K,"Tapşırıqların İcrasına Nəzarət platforması üzrə",
'DP və TP'!$AC:$AC,"İcra müddətinə var",'DP və TP'!$AD:$AD,"&lt;=4")</f>
        <v>0</v>
      </c>
      <c r="M13" s="33">
        <f>COUNTIFS('DP və TP'!$B:$B,B13,
'DP və TP'!$K:$K,"Tapşırıqların İcrasına Nəzarət platforması üzrə",
'DP və TP'!$AC:$AC,"Gecikmə",'DP və TP'!$AD:$AD,"&lt;=4")</f>
        <v>0</v>
      </c>
      <c r="N13" s="33">
        <f>COUNTIFS('DP və TP'!$B:$B,B13,
'DP və TP'!$K:$K,"Tapşırıqların İcrasına Nəzarət platforması üzrə",
'DP və TP'!$AC:$AC,"İcra olunmayıb",'DP və TP'!$AD:$AD,"&lt;=4")</f>
        <v>0</v>
      </c>
      <c r="O13" s="34">
        <f>COUNTIFS('DP və TP'!$B:$B,B13,
'DP və TP'!$K:$K,"Tapşırıqların İcrasına Nəzarət platforması üzrə",
'DP və TP'!$AC:$AC,"İcra olunmayıb, prioritet deyil",'DP və TP'!$AD:$AD,"&lt;=4")</f>
        <v>0</v>
      </c>
      <c r="P13" s="38">
        <f t="shared" ref="P13:P20" si="0">SUM(J13:O13)</f>
        <v>0</v>
      </c>
    </row>
    <row r="14" spans="1:16" ht="50.25" customHeight="1" x14ac:dyDescent="0.3">
      <c r="A14" s="22">
        <v>4</v>
      </c>
      <c r="B14" s="23" t="s">
        <v>309</v>
      </c>
      <c r="C14" s="77">
        <f>COUNTIFS('DP və TP'!$B:$B,B14,'DP və TP'!$AD:$AD,"&lt;=4")</f>
        <v>7</v>
      </c>
      <c r="D14" s="81">
        <f>COUNTIFS('DP və TP'!$B:$B,B14,'DP və TP'!$AC:$AC,"Tam icra",'DP və TP'!$AD:$AD,"&lt;=4")</f>
        <v>0</v>
      </c>
      <c r="E14" s="32">
        <f>COUNTIFS('DP və TP'!$B:$B,B14,
'DP və TP'!$AC:$AC,"Qismən icra",'DP və TP'!$AD:$AD,"&lt;=4")</f>
        <v>0</v>
      </c>
      <c r="F14" s="32">
        <f>COUNTIFS('DP və TP'!$B:$B,B14,
'DP və TP'!$AC:$AC,"İcra müddətinə var",'DP və TP'!$AD:$AD,"&lt;=4")</f>
        <v>0</v>
      </c>
      <c r="G14" s="32">
        <f>COUNTIFS('DP və TP'!$B:$B,B14,
'DP və TP'!$AC:$AC,"Gecikmə",'DP və TP'!$AD:$AD,"&lt;=4")</f>
        <v>0</v>
      </c>
      <c r="H14" s="32">
        <f>COUNTIFS('DP və TP'!$B:$B,B14,
'DP və TP'!$AC:$AC,"İcra olunmayıb",'DP və TP'!$AD:$AD,"&lt;=4")</f>
        <v>0</v>
      </c>
      <c r="I14" s="32">
        <f>COUNTIFS('DP və TP'!$B:$B,B14,
'DP və TP'!$AC:$AC,"İcra olunmayıb, prioritet deyil",'DP və TP'!$AD:$AD,"&lt;=4")</f>
        <v>0</v>
      </c>
      <c r="J14" s="33">
        <f>COUNTIFS('DP və TP'!$B:$B,B14,
'DP və TP'!$K:$K,"Tapşırıqların İcrasına Nəzarət platforması üzrə",
'DP və TP'!$AC:$AC,"Tam icra",'DP və TP'!$AD:$AD,"&lt;=4")</f>
        <v>0</v>
      </c>
      <c r="K14" s="33">
        <f>COUNTIFS('DP və TP'!$B:$B,B14,
'DP və TP'!$K:$K,"Tapşırıqların İcrasına Nəzarət platforması üzrə",
'DP və TP'!$AC:$AC,"Qismən icra",'DP və TP'!$AD:$AD,"&lt;=4")</f>
        <v>0</v>
      </c>
      <c r="L14" s="33">
        <f>COUNTIFS('DP və TP'!$B:$B,B14,
'DP və TP'!$K:$K,"Tapşırıqların İcrasına Nəzarət platforması üzrə",
'DP və TP'!$AC:$AC,"İcra müddətinə var",'DP və TP'!$AD:$AD,"&lt;=4")</f>
        <v>0</v>
      </c>
      <c r="M14" s="33">
        <f>COUNTIFS('DP və TP'!$B:$B,B14,
'DP və TP'!$K:$K,"Tapşırıqların İcrasına Nəzarət platforması üzrə",
'DP və TP'!$AC:$AC,"Gecikmə",'DP və TP'!$AD:$AD,"&lt;=4")</f>
        <v>0</v>
      </c>
      <c r="N14" s="33">
        <f>COUNTIFS('DP və TP'!$B:$B,B14,
'DP və TP'!$K:$K,"Tapşırıqların İcrasına Nəzarət platforması üzrə",
'DP və TP'!$AC:$AC,"İcra olunmayıb",'DP və TP'!$AD:$AD,"&lt;=4")</f>
        <v>0</v>
      </c>
      <c r="O14" s="34">
        <f>COUNTIFS('DP və TP'!$B:$B,B14,
'DP və TP'!$K:$K,"Tapşırıqların İcrasına Nəzarət platforması üzrə",
'DP və TP'!$AC:$AC,"İcra olunmayıb, prioritet deyil",'DP və TP'!$AD:$AD,"&lt;=4")</f>
        <v>0</v>
      </c>
      <c r="P14" s="40">
        <f t="shared" si="0"/>
        <v>0</v>
      </c>
    </row>
    <row r="15" spans="1:16" ht="51" customHeight="1" x14ac:dyDescent="0.3">
      <c r="A15" s="22">
        <v>5</v>
      </c>
      <c r="B15" s="23" t="s">
        <v>146</v>
      </c>
      <c r="C15" s="77">
        <f>COUNTIFS('DP və TP'!$B:$B,B15,'DP və TP'!$AD:$AD,"&lt;=4")</f>
        <v>2</v>
      </c>
      <c r="D15" s="81">
        <f>COUNTIFS('DP və TP'!$B:$B,B15,'DP və TP'!$AC:$AC,"Tam icra",'DP və TP'!$AD:$AD,"&lt;=4")</f>
        <v>0</v>
      </c>
      <c r="E15" s="32">
        <f>COUNTIFS('DP və TP'!$B:$B,B15,
'DP və TP'!$AC:$AC,"Qismən icra",'DP və TP'!$AD:$AD,"&lt;=4")</f>
        <v>0</v>
      </c>
      <c r="F15" s="32">
        <f>COUNTIFS('DP və TP'!$B:$B,B15,
'DP və TP'!$AC:$AC,"İcra müddətinə var",'DP və TP'!$AD:$AD,"&lt;=4")</f>
        <v>0</v>
      </c>
      <c r="G15" s="32">
        <f>COUNTIFS('DP və TP'!$B:$B,B15,
'DP və TP'!$AC:$AC,"Gecikmə",'DP və TP'!$AD:$AD,"&lt;=4")</f>
        <v>0</v>
      </c>
      <c r="H15" s="32">
        <f>COUNTIFS('DP və TP'!$B:$B,B15,
'DP və TP'!$AC:$AC,"İcra olunmayıb",'DP və TP'!$AD:$AD,"&lt;=4")</f>
        <v>0</v>
      </c>
      <c r="I15" s="32">
        <f>COUNTIFS('DP və TP'!$B:$B,B15,
'DP və TP'!$AC:$AC,"İcra olunmayıb, prioritet deyil",'DP və TP'!$AD:$AD,"&lt;=4")</f>
        <v>0</v>
      </c>
      <c r="J15" s="33">
        <f>COUNTIFS('DP və TP'!$B:$B,B15,
'DP və TP'!$K:$K,"Tapşırıqların İcrasına Nəzarət platforması üzrə",
'DP və TP'!$AC:$AC,"Tam icra",'DP və TP'!$AD:$AD,"&lt;=4")</f>
        <v>0</v>
      </c>
      <c r="K15" s="33">
        <f>COUNTIFS('DP və TP'!$B:$B,B15,
'DP və TP'!$K:$K,"Tapşırıqların İcrasına Nəzarət platforması üzrə",
'DP və TP'!$AC:$AC,"Qismən icra",'DP və TP'!$AD:$AD,"&lt;=4")</f>
        <v>0</v>
      </c>
      <c r="L15" s="33">
        <f>COUNTIFS('DP və TP'!$B:$B,B15,
'DP və TP'!$K:$K,"Tapşırıqların İcrasına Nəzarət platforması üzrə",
'DP və TP'!$AC:$AC,"İcra müddətinə var",'DP və TP'!$AD:$AD,"&lt;=4")</f>
        <v>0</v>
      </c>
      <c r="M15" s="33">
        <f>COUNTIFS('DP və TP'!$B:$B,B15,
'DP və TP'!$K:$K,"Tapşırıqların İcrasına Nəzarət platforması üzrə",
'DP və TP'!$AC:$AC,"Gecikmə",'DP və TP'!$AD:$AD,"&lt;=4")</f>
        <v>0</v>
      </c>
      <c r="N15" s="33">
        <f>COUNTIFS('DP və TP'!$B:$B,B15,
'DP və TP'!$K:$K,"Tapşırıqların İcrasına Nəzarət platforması üzrə",
'DP və TP'!$AC:$AC,"İcra olunmayıb",'DP və TP'!$AD:$AD,"&lt;=4")</f>
        <v>0</v>
      </c>
      <c r="O15" s="34">
        <f>COUNTIFS('DP və TP'!$B:$B,B15,
'DP və TP'!$K:$K,"Tapşırıqların İcrasına Nəzarət platforması üzrə",
'DP və TP'!$AC:$AC,"İcra olunmayıb, prioritet deyil",'DP və TP'!$AD:$AD,"&lt;=4")</f>
        <v>0</v>
      </c>
      <c r="P15" s="43">
        <f t="shared" si="0"/>
        <v>0</v>
      </c>
    </row>
    <row r="16" spans="1:16" ht="39" customHeight="1" x14ac:dyDescent="0.3">
      <c r="A16" s="22">
        <v>6</v>
      </c>
      <c r="B16" s="23" t="s">
        <v>442</v>
      </c>
      <c r="C16" s="77">
        <f>COUNTIFS('DP və TP'!$B:$B,B16,'DP və TP'!$AD:$AD,"&lt;=4")</f>
        <v>5</v>
      </c>
      <c r="D16" s="81">
        <f>COUNTIFS('DP və TP'!$B:$B,B16,'DP və TP'!$AC:$AC,"Tam icra",'DP və TP'!$AD:$AD,"&lt;=4")</f>
        <v>0</v>
      </c>
      <c r="E16" s="32">
        <f>COUNTIFS('DP və TP'!$B:$B,B16,
'DP və TP'!$AC:$AC,"Qismən icra",'DP və TP'!$AD:$AD,"&lt;=4")</f>
        <v>0</v>
      </c>
      <c r="F16" s="32">
        <f>COUNTIFS('DP və TP'!$B:$B,B16,
'DP və TP'!$AC:$AC,"İcra müddətinə var",'DP və TP'!$AD:$AD,"&lt;=4")</f>
        <v>0</v>
      </c>
      <c r="G16" s="32">
        <f>COUNTIFS('DP və TP'!$B:$B,B16,
'DP və TP'!$AC:$AC,"Gecikmə",'DP və TP'!$AD:$AD,"&lt;=4")</f>
        <v>0</v>
      </c>
      <c r="H16" s="32">
        <f>COUNTIFS('DP və TP'!$B:$B,B16,
'DP və TP'!$AC:$AC,"İcra olunmayıb",'DP və TP'!$AD:$AD,"&lt;=4")</f>
        <v>0</v>
      </c>
      <c r="I16" s="32">
        <f>COUNTIFS('DP və TP'!$B:$B,B16,
'DP və TP'!$AC:$AC,"İcra olunmayıb, prioritet deyil",'DP və TP'!$AD:$AD,"&lt;=4")</f>
        <v>0</v>
      </c>
      <c r="J16" s="33">
        <f>COUNTIFS('DP və TP'!$B:$B,B16,
'DP və TP'!$K:$K,"Tapşırıqların İcrasına Nəzarət platforması üzrə",
'DP və TP'!$AC:$AC,"Tam icra",'DP və TP'!$AD:$AD,"&lt;=4")</f>
        <v>0</v>
      </c>
      <c r="K16" s="33">
        <f>COUNTIFS('DP və TP'!$B:$B,B16,
'DP və TP'!$K:$K,"Tapşırıqların İcrasına Nəzarət platforması üzrə",
'DP və TP'!$AC:$AC,"Qismən icra",'DP və TP'!$AD:$AD,"&lt;=4")</f>
        <v>0</v>
      </c>
      <c r="L16" s="33">
        <f>COUNTIFS('DP və TP'!$B:$B,B16,
'DP və TP'!$K:$K,"Tapşırıqların İcrasına Nəzarət platforması üzrə",
'DP və TP'!$AC:$AC,"İcra müddətinə var",'DP və TP'!$AD:$AD,"&lt;=4")</f>
        <v>0</v>
      </c>
      <c r="M16" s="33">
        <f>COUNTIFS('DP və TP'!$B:$B,B16,
'DP və TP'!$K:$K,"Tapşırıqların İcrasına Nəzarət platforması üzrə",
'DP və TP'!$AC:$AC,"Gecikmə",'DP və TP'!$AD:$AD,"&lt;=4")</f>
        <v>0</v>
      </c>
      <c r="N16" s="33">
        <f>COUNTIFS('DP və TP'!$B:$B,B16,
'DP və TP'!$K:$K,"Tapşırıqların İcrasına Nəzarət platforması üzrə",
'DP və TP'!$AC:$AC,"İcra olunmayıb",'DP və TP'!$AD:$AD,"&lt;=4")</f>
        <v>0</v>
      </c>
      <c r="O16" s="34">
        <f>COUNTIFS('DP və TP'!$B:$B,B16,
'DP və TP'!$K:$K,"Tapşırıqların İcrasına Nəzarət platforması üzrə",
'DP və TP'!$AC:$AC,"İcra olunmayıb, prioritet deyil",'DP və TP'!$AD:$AD,"&lt;=4")</f>
        <v>0</v>
      </c>
      <c r="P16" s="40">
        <f t="shared" si="0"/>
        <v>0</v>
      </c>
    </row>
    <row r="17" spans="1:16" ht="35.25" customHeight="1" x14ac:dyDescent="0.3">
      <c r="A17" s="22">
        <v>7</v>
      </c>
      <c r="B17" s="23" t="s">
        <v>412</v>
      </c>
      <c r="C17" s="77">
        <f>COUNTIFS('DP və TP'!$B:$B,B17,'DP və TP'!$AD:$AD,"&lt;=4")</f>
        <v>6</v>
      </c>
      <c r="D17" s="81">
        <f>COUNTIFS('DP və TP'!$B:$B,B17,'DP və TP'!$AC:$AC,"Tam icra",'DP və TP'!$AD:$AD,"&lt;=4")</f>
        <v>0</v>
      </c>
      <c r="E17" s="32">
        <f>COUNTIFS('DP və TP'!$B:$B,B17,
'DP və TP'!$AC:$AC,"Qismən icra",'DP və TP'!$AD:$AD,"&lt;=4")</f>
        <v>0</v>
      </c>
      <c r="F17" s="32">
        <f>COUNTIFS('DP və TP'!$B:$B,B17,
'DP və TP'!$AC:$AC,"İcra müddətinə var",'DP və TP'!$AD:$AD,"&lt;=4")</f>
        <v>0</v>
      </c>
      <c r="G17" s="32">
        <f>COUNTIFS('DP və TP'!$B:$B,B17,
'DP və TP'!$AC:$AC,"Gecikmə",'DP və TP'!$AD:$AD,"&lt;=4")</f>
        <v>0</v>
      </c>
      <c r="H17" s="32">
        <f>COUNTIFS('DP və TP'!$B:$B,B17,
'DP və TP'!$AC:$AC,"İcra olunmayıb",'DP və TP'!$AD:$AD,"&lt;=4")</f>
        <v>0</v>
      </c>
      <c r="I17" s="32">
        <f>COUNTIFS('DP və TP'!$B:$B,B17,
'DP və TP'!$AC:$AC,"İcra olunmayıb, prioritet deyil",'DP və TP'!$AD:$AD,"&lt;=4")</f>
        <v>0</v>
      </c>
      <c r="J17" s="33">
        <f>COUNTIFS('DP və TP'!$B:$B,B17,
'DP və TP'!$K:$K,"Tapşırıqların İcrasına Nəzarət platforması üzrə",
'DP və TP'!$AC:$AC,"Tam icra",'DP və TP'!$AD:$AD,"&lt;=4")</f>
        <v>0</v>
      </c>
      <c r="K17" s="33">
        <f>COUNTIFS('DP və TP'!$B:$B,B17,
'DP və TP'!$K:$K,"Tapşırıqların İcrasına Nəzarət platforması üzrə",
'DP və TP'!$AC:$AC,"Qismən icra",'DP və TP'!$AD:$AD,"&lt;=4")</f>
        <v>0</v>
      </c>
      <c r="L17" s="33">
        <f>COUNTIFS('DP və TP'!$B:$B,B17,
'DP və TP'!$K:$K,"Tapşırıqların İcrasına Nəzarət platforması üzrə",
'DP və TP'!$AC:$AC,"İcra müddətinə var",'DP və TP'!$AD:$AD,"&lt;=4")</f>
        <v>0</v>
      </c>
      <c r="M17" s="33">
        <f>COUNTIFS('DP və TP'!$B:$B,B17,
'DP və TP'!$K:$K,"Tapşırıqların İcrasına Nəzarət platforması üzrə",
'DP və TP'!$AC:$AC,"Gecikmə",'DP və TP'!$AD:$AD,"&lt;=4")</f>
        <v>0</v>
      </c>
      <c r="N17" s="33">
        <f>COUNTIFS('DP və TP'!$B:$B,B17,
'DP və TP'!$K:$K,"Tapşırıqların İcrasına Nəzarət platforması üzrə",
'DP və TP'!$AC:$AC,"İcra olunmayıb",'DP və TP'!$AD:$AD,"&lt;=4")</f>
        <v>0</v>
      </c>
      <c r="O17" s="34">
        <f>COUNTIFS('DP və TP'!$B:$B,B17,
'DP və TP'!$K:$K,"Tapşırıqların İcrasına Nəzarət platforması üzrə",
'DP və TP'!$AC:$AC,"İcra olunmayıb, prioritet deyil",'DP və TP'!$AD:$AD,"&lt;=4")</f>
        <v>0</v>
      </c>
      <c r="P17" s="40">
        <f t="shared" si="0"/>
        <v>0</v>
      </c>
    </row>
    <row r="18" spans="1:16" ht="49.5" customHeight="1" x14ac:dyDescent="0.3">
      <c r="A18" s="22">
        <v>8</v>
      </c>
      <c r="B18" s="23" t="s">
        <v>341</v>
      </c>
      <c r="C18" s="77">
        <f>COUNTIFS('DP və TP'!$B:$B,B18,'DP və TP'!$AD:$AD,"&lt;=4")</f>
        <v>1</v>
      </c>
      <c r="D18" s="81">
        <f>COUNTIFS('DP və TP'!$B:$B,B18,'DP və TP'!$AC:$AC,"Tam icra",'DP və TP'!$AD:$AD,"&lt;=4")</f>
        <v>0</v>
      </c>
      <c r="E18" s="32">
        <f>COUNTIFS('DP və TP'!$B:$B,B18,
'DP və TP'!$AC:$AC,"Qismən icra",'DP və TP'!$AD:$AD,"&lt;=4")</f>
        <v>0</v>
      </c>
      <c r="F18" s="32">
        <f>COUNTIFS('DP və TP'!$B:$B,B18,
'DP və TP'!$AC:$AC,"İcra müddətinə var",'DP və TP'!$AD:$AD,"&lt;=4")</f>
        <v>0</v>
      </c>
      <c r="G18" s="32">
        <f>COUNTIFS('DP və TP'!$B:$B,B18,
'DP və TP'!$AC:$AC,"Gecikmə",'DP və TP'!$AD:$AD,"&lt;=4")</f>
        <v>0</v>
      </c>
      <c r="H18" s="32">
        <f>COUNTIFS('DP və TP'!$B:$B,B18,
'DP və TP'!$AC:$AC,"İcra olunmayıb",'DP və TP'!$AD:$AD,"&lt;=4")</f>
        <v>0</v>
      </c>
      <c r="I18" s="32">
        <f>COUNTIFS('DP və TP'!$B:$B,B18,
'DP və TP'!$AC:$AC,"İcra olunmayıb, prioritet deyil",'DP və TP'!$AD:$AD,"&lt;=4")</f>
        <v>0</v>
      </c>
      <c r="J18" s="33">
        <f>COUNTIFS('DP və TP'!$B:$B,B18,
'DP və TP'!$K:$K,"Tapşırıqların İcrasına Nəzarət platforması üzrə",
'DP və TP'!$AC:$AC,"Tam icra",'DP və TP'!$AD:$AD,"&lt;=4")</f>
        <v>0</v>
      </c>
      <c r="K18" s="33">
        <f>COUNTIFS('DP və TP'!$B:$B,B18,
'DP və TP'!$K:$K,"Tapşırıqların İcrasına Nəzarət platforması üzrə",
'DP və TP'!$AC:$AC,"Qismən icra",'DP və TP'!$AD:$AD,"&lt;=4")</f>
        <v>0</v>
      </c>
      <c r="L18" s="33">
        <f>COUNTIFS('DP və TP'!$B:$B,B18,
'DP və TP'!$K:$K,"Tapşırıqların İcrasına Nəzarət platforması üzrə",
'DP və TP'!$AC:$AC,"İcra müddətinə var",'DP və TP'!$AD:$AD,"&lt;=4")</f>
        <v>0</v>
      </c>
      <c r="M18" s="33">
        <f>COUNTIFS('DP və TP'!$B:$B,B18,
'DP və TP'!$K:$K,"Tapşırıqların İcrasına Nəzarət platforması üzrə",
'DP və TP'!$AC:$AC,"Gecikmə",'DP və TP'!$AD:$AD,"&lt;=4")</f>
        <v>0</v>
      </c>
      <c r="N18" s="33">
        <f>COUNTIFS('DP və TP'!$B:$B,B18,
'DP və TP'!$K:$K,"Tapşırıqların İcrasına Nəzarət platforması üzrə",
'DP və TP'!$AC:$AC,"İcra olunmayıb",'DP və TP'!$AD:$AD,"&lt;=4")</f>
        <v>0</v>
      </c>
      <c r="O18" s="34">
        <f>COUNTIFS('DP və TP'!$B:$B,B18,
'DP və TP'!$K:$K,"Tapşırıqların İcrasına Nəzarət platforması üzrə",
'DP və TP'!$AC:$AC,"İcra olunmayıb, prioritet deyil",'DP və TP'!$AD:$AD,"&lt;=4")</f>
        <v>0</v>
      </c>
      <c r="P18" s="40">
        <f t="shared" si="0"/>
        <v>0</v>
      </c>
    </row>
    <row r="19" spans="1:16" ht="36" customHeight="1" x14ac:dyDescent="0.3">
      <c r="A19" s="22">
        <v>9</v>
      </c>
      <c r="B19" s="23" t="s">
        <v>426</v>
      </c>
      <c r="C19" s="77">
        <f>COUNTIFS('DP və TP'!$B:$B,B19,'DP və TP'!$AD:$AD,"&lt;=4")</f>
        <v>3</v>
      </c>
      <c r="D19" s="81">
        <f>COUNTIFS('DP və TP'!$B:$B,B19,'DP və TP'!$AC:$AC,"Tam icra",'DP və TP'!$AD:$AD,"&lt;=4")</f>
        <v>0</v>
      </c>
      <c r="E19" s="32">
        <f>COUNTIFS('DP və TP'!$B:$B,B19,
'DP və TP'!$AC:$AC,"Qismən icra",'DP və TP'!$AD:$AD,"&lt;=4")</f>
        <v>0</v>
      </c>
      <c r="F19" s="32">
        <f>COUNTIFS('DP və TP'!$B:$B,B19,
'DP və TP'!$AC:$AC,"İcra müddətinə var",'DP və TP'!$AD:$AD,"&lt;=4")</f>
        <v>0</v>
      </c>
      <c r="G19" s="32">
        <f>COUNTIFS('DP və TP'!$B:$B,B19,
'DP və TP'!$AC:$AC,"Gecikmə",'DP və TP'!$AD:$AD,"&lt;=4")</f>
        <v>0</v>
      </c>
      <c r="H19" s="32">
        <f>COUNTIFS('DP və TP'!$B:$B,B19,
'DP və TP'!$AC:$AC,"İcra olunmayıb",'DP və TP'!$AD:$AD,"&lt;=4")</f>
        <v>0</v>
      </c>
      <c r="I19" s="32">
        <f>COUNTIFS('DP və TP'!$B:$B,B19,
'DP və TP'!$AC:$AC,"İcra olunmayıb, prioritet deyil",'DP və TP'!$AD:$AD,"&lt;=4")</f>
        <v>0</v>
      </c>
      <c r="J19" s="33">
        <f>COUNTIFS('DP və TP'!$B:$B,B19,
'DP və TP'!$K:$K,"Tapşırıqların İcrasına Nəzarət platforması üzrə",
'DP və TP'!$AC:$AC,"Tam icra",'DP və TP'!$AD:$AD,"&lt;=4")</f>
        <v>0</v>
      </c>
      <c r="K19" s="33">
        <f>COUNTIFS('DP və TP'!$B:$B,B19,
'DP və TP'!$K:$K,"Tapşırıqların İcrasına Nəzarət platforması üzrə",
'DP və TP'!$AC:$AC,"Qismən icra",'DP və TP'!$AD:$AD,"&lt;=4")</f>
        <v>0</v>
      </c>
      <c r="L19" s="33">
        <f>COUNTIFS('DP və TP'!$B:$B,B19,
'DP və TP'!$K:$K,"Tapşırıqların İcrasına Nəzarət platforması üzrə",
'DP və TP'!$AC:$AC,"İcra müddətinə var",'DP və TP'!$AD:$AD,"&lt;=4")</f>
        <v>0</v>
      </c>
      <c r="M19" s="33">
        <f>COUNTIFS('DP və TP'!$B:$B,B19,
'DP və TP'!$K:$K,"Tapşırıqların İcrasına Nəzarət platforması üzrə",
'DP və TP'!$AC:$AC,"Gecikmə",'DP və TP'!$AD:$AD,"&lt;=4")</f>
        <v>0</v>
      </c>
      <c r="N19" s="33">
        <f>COUNTIFS('DP və TP'!$B:$B,B19,
'DP və TP'!$K:$K,"Tapşırıqların İcrasına Nəzarət platforması üzrə",
'DP və TP'!$AC:$AC,"İcra olunmayıb",'DP və TP'!$AD:$AD,"&lt;=4")</f>
        <v>0</v>
      </c>
      <c r="O19" s="34">
        <f>COUNTIFS('DP və TP'!$B:$B,B19,
'DP və TP'!$K:$K,"Tapşırıqların İcrasına Nəzarət platforması üzrə",
'DP və TP'!$AC:$AC,"İcra olunmayıb, prioritet deyil",'DP və TP'!$AD:$AD,"&lt;=4")</f>
        <v>0</v>
      </c>
      <c r="P19" s="43">
        <f t="shared" si="0"/>
        <v>0</v>
      </c>
    </row>
    <row r="20" spans="1:16" ht="34.5" customHeight="1" x14ac:dyDescent="0.3">
      <c r="A20" s="22">
        <v>10</v>
      </c>
      <c r="B20" s="23" t="s">
        <v>398</v>
      </c>
      <c r="C20" s="77">
        <f>COUNTIFS('DP və TP'!$B:$B,B20,'DP və TP'!$AD:$AD,"&lt;=4")</f>
        <v>6</v>
      </c>
      <c r="D20" s="81">
        <f>COUNTIFS('DP və TP'!$B:$B,B20,'DP və TP'!$AC:$AC,"Tam icra",'DP və TP'!$AD:$AD,"&lt;=4")</f>
        <v>0</v>
      </c>
      <c r="E20" s="32">
        <f>COUNTIFS('DP və TP'!$B:$B,B20,
'DP və TP'!$AC:$AC,"Qismən icra",'DP və TP'!$AD:$AD,"&lt;=4")</f>
        <v>0</v>
      </c>
      <c r="F20" s="32">
        <f>COUNTIFS('DP və TP'!$B:$B,B20,
'DP və TP'!$AC:$AC,"İcra müddətinə var",'DP və TP'!$AD:$AD,"&lt;=4")</f>
        <v>0</v>
      </c>
      <c r="G20" s="32">
        <f>COUNTIFS('DP və TP'!$B:$B,B20,
'DP və TP'!$AC:$AC,"Gecikmə",'DP və TP'!$AD:$AD,"&lt;=4")</f>
        <v>0</v>
      </c>
      <c r="H20" s="32">
        <f>COUNTIFS('DP və TP'!$B:$B,B20,
'DP və TP'!$AC:$AC,"İcra olunmayıb",'DP və TP'!$AD:$AD,"&lt;=4")</f>
        <v>0</v>
      </c>
      <c r="I20" s="32">
        <f>COUNTIFS('DP və TP'!$B:$B,B20,
'DP və TP'!$AC:$AC,"İcra olunmayıb, prioritet deyil",'DP və TP'!$AD:$AD,"&lt;=4")</f>
        <v>0</v>
      </c>
      <c r="J20" s="33">
        <f>COUNTIFS('DP və TP'!$B:$B,B20,
'DP və TP'!$K:$K,"Tapşırıqların İcrasına Nəzarət platforması üzrə",
'DP və TP'!$AC:$AC,"Tam icra",'DP və TP'!$AD:$AD,"&lt;=4")</f>
        <v>0</v>
      </c>
      <c r="K20" s="33">
        <f>COUNTIFS('DP və TP'!$B:$B,B20,
'DP və TP'!$K:$K,"Tapşırıqların İcrasına Nəzarət platforması üzrə",
'DP və TP'!$AC:$AC,"Qismən icra",'DP və TP'!$AD:$AD,"&lt;=4")</f>
        <v>0</v>
      </c>
      <c r="L20" s="33">
        <f>COUNTIFS('DP və TP'!$B:$B,B20,
'DP və TP'!$K:$K,"Tapşırıqların İcrasına Nəzarət platforması üzrə",
'DP və TP'!$AC:$AC,"İcra müddətinə var",'DP və TP'!$AD:$AD,"&lt;=4")</f>
        <v>0</v>
      </c>
      <c r="M20" s="33">
        <f>COUNTIFS('DP və TP'!$B:$B,B20,
'DP və TP'!$K:$K,"Tapşırıqların İcrasına Nəzarət platforması üzrə",
'DP və TP'!$AC:$AC,"Gecikmə",'DP və TP'!$AD:$AD,"&lt;=4")</f>
        <v>0</v>
      </c>
      <c r="N20" s="33">
        <f>COUNTIFS('DP və TP'!$B:$B,B20,
'DP və TP'!$K:$K,"Tapşırıqların İcrasına Nəzarət platforması üzrə",
'DP və TP'!$AC:$AC,"İcra olunmayıb",'DP və TP'!$AD:$AD,"&lt;=4")</f>
        <v>0</v>
      </c>
      <c r="O20" s="34">
        <f>COUNTIFS('DP və TP'!$B:$B,B20,
'DP və TP'!$K:$K,"Tapşırıqların İcrasına Nəzarət platforması üzrə",
'DP və TP'!$AC:$AC,"İcra olunmayıb, prioritet deyil",'DP və TP'!$AD:$AD,"&lt;=4")</f>
        <v>0</v>
      </c>
      <c r="P20" s="30">
        <f t="shared" si="0"/>
        <v>0</v>
      </c>
    </row>
    <row r="21" spans="1:16" ht="39" customHeight="1" x14ac:dyDescent="0.3">
      <c r="A21" s="22">
        <v>11</v>
      </c>
      <c r="B21" s="23" t="s">
        <v>535</v>
      </c>
      <c r="C21" s="77">
        <f>COUNTIFS('DP və TP'!$B:$B,B21,'DP və TP'!$AD:$AD,"&lt;=4")</f>
        <v>3</v>
      </c>
      <c r="D21" s="81">
        <f>COUNTIFS('DP və TP'!$B:$B,B21,'DP və TP'!$AC:$AC,"Tam icra",'DP və TP'!$AD:$AD,"&lt;=4")</f>
        <v>0</v>
      </c>
      <c r="E21" s="32">
        <f>COUNTIFS('DP və TP'!$B:$B,B21,
'DP və TP'!$AC:$AC,"Qismən icra",'DP və TP'!$AD:$AD,"&lt;=4")</f>
        <v>0</v>
      </c>
      <c r="F21" s="32">
        <f>COUNTIFS('DP və TP'!$B:$B,B21,
'DP və TP'!$AC:$AC,"İcra müddətinə var",'DP və TP'!$AD:$AD,"&lt;=4")</f>
        <v>0</v>
      </c>
      <c r="G21" s="32">
        <f>COUNTIFS('DP və TP'!$B:$B,B21,
'DP və TP'!$AC:$AC,"Gecikmə",'DP və TP'!$AD:$AD,"&lt;=4")</f>
        <v>0</v>
      </c>
      <c r="H21" s="32">
        <f>COUNTIFS('DP və TP'!$B:$B,B21,
'DP və TP'!$AC:$AC,"İcra olunmayıb",'DP və TP'!$AD:$AD,"&lt;=4")</f>
        <v>0</v>
      </c>
      <c r="I21" s="32">
        <f>COUNTIFS('DP və TP'!$B:$B,B21,
'DP və TP'!$AC:$AC,"İcra olunmayıb, prioritet deyil",'DP və TP'!$AD:$AD,"&lt;=4")</f>
        <v>0</v>
      </c>
      <c r="J21" s="33">
        <f>COUNTIFS('DP və TP'!$B:$B,B21,
'DP və TP'!$K:$K,"Tapşırıqların İcrasına Nəzarət platforması üzrə",
'DP və TP'!$AC:$AC,"Tam icra",'DP və TP'!$AD:$AD,"&lt;=4")</f>
        <v>0</v>
      </c>
      <c r="K21" s="33">
        <f>COUNTIFS('DP və TP'!$B:$B,B21,
'DP və TP'!$K:$K,"Tapşırıqların İcrasına Nəzarət platforması üzrə",
'DP və TP'!$AC:$AC,"Qismən icra",'DP və TP'!$AD:$AD,"&lt;=4")</f>
        <v>0</v>
      </c>
      <c r="L21" s="33">
        <f>COUNTIFS('DP və TP'!$B:$B,B21,
'DP və TP'!$K:$K,"Tapşırıqların İcrasına Nəzarət platforması üzrə",
'DP və TP'!$AC:$AC,"İcra müddətinə var",'DP və TP'!$AD:$AD,"&lt;=4")</f>
        <v>0</v>
      </c>
      <c r="M21" s="33">
        <f>COUNTIFS('DP və TP'!$B:$B,B21,
'DP və TP'!$K:$K,"Tapşırıqların İcrasına Nəzarət platforması üzrə",
'DP və TP'!$AC:$AC,"Gecikmə",'DP və TP'!$AD:$AD,"&lt;=4")</f>
        <v>0</v>
      </c>
      <c r="N21" s="33">
        <f>COUNTIFS('DP və TP'!$B:$B,B21,
'DP və TP'!$K:$K,"Tapşırıqların İcrasına Nəzarət platforması üzrə",
'DP və TP'!$AC:$AC,"İcra olunmayıb",'DP və TP'!$AD:$AD,"&lt;=4")</f>
        <v>0</v>
      </c>
      <c r="O21" s="34">
        <f>COUNTIFS('DP və TP'!$B:$B,B21,
'DP və TP'!$K:$K,"Tapşırıqların İcrasına Nəzarət platforması üzrə",
'DP və TP'!$AC:$AC,"İcra olunmayıb, prioritet deyil",'DP və TP'!$AD:$AD,"&lt;=4")</f>
        <v>0</v>
      </c>
      <c r="P21" s="30"/>
    </row>
    <row r="22" spans="1:16" ht="39" customHeight="1" x14ac:dyDescent="0.3">
      <c r="A22" s="22">
        <v>12</v>
      </c>
      <c r="B22" s="23" t="s">
        <v>516</v>
      </c>
      <c r="C22" s="77">
        <f>COUNTIFS('DP və TP'!$B:$B,B22,'DP və TP'!$AD:$AD,"&lt;=4")</f>
        <v>4</v>
      </c>
      <c r="D22" s="81">
        <f>COUNTIFS('DP və TP'!$B:$B,B22,'DP və TP'!$AC:$AC,"Tam icra",'DP və TP'!$AD:$AD,"&lt;=4")</f>
        <v>0</v>
      </c>
      <c r="E22" s="32">
        <f>COUNTIFS('DP və TP'!$B:$B,B22,
'DP və TP'!$AC:$AC,"Qismən icra",'DP və TP'!$AD:$AD,"&lt;=4")</f>
        <v>0</v>
      </c>
      <c r="F22" s="32">
        <f>COUNTIFS('DP və TP'!$B:$B,B22,
'DP və TP'!$AC:$AC,"İcra müddətinə var",'DP və TP'!$AD:$AD,"&lt;=4")</f>
        <v>0</v>
      </c>
      <c r="G22" s="32">
        <f>COUNTIFS('DP və TP'!$B:$B,B22,
'DP və TP'!$AC:$AC,"Gecikmə",'DP və TP'!$AD:$AD,"&lt;=4")</f>
        <v>0</v>
      </c>
      <c r="H22" s="32">
        <f>COUNTIFS('DP və TP'!$B:$B,B22,
'DP və TP'!$AC:$AC,"İcra olunmayıb",'DP və TP'!$AD:$AD,"&lt;=4")</f>
        <v>0</v>
      </c>
      <c r="I22" s="32">
        <f>COUNTIFS('DP və TP'!$B:$B,B22,
'DP və TP'!$AC:$AC,"İcra olunmayıb, prioritet deyil",'DP və TP'!$AD:$AD,"&lt;=4")</f>
        <v>0</v>
      </c>
      <c r="J22" s="33">
        <f>COUNTIFS('DP və TP'!$B:$B,B22,
'DP və TP'!$K:$K,"Tapşırıqların İcrasına Nəzarət platforması üzrə",
'DP və TP'!$AC:$AC,"Tam icra",'DP və TP'!$AD:$AD,"&lt;=4")</f>
        <v>0</v>
      </c>
      <c r="K22" s="33">
        <f>COUNTIFS('DP və TP'!$B:$B,B22,
'DP və TP'!$K:$K,"Tapşırıqların İcrasına Nəzarət platforması üzrə",
'DP və TP'!$AC:$AC,"Qismən icra",'DP və TP'!$AD:$AD,"&lt;=4")</f>
        <v>0</v>
      </c>
      <c r="L22" s="33">
        <f>COUNTIFS('DP və TP'!$B:$B,B22,
'DP və TP'!$K:$K,"Tapşırıqların İcrasına Nəzarət platforması üzrə",
'DP və TP'!$AC:$AC,"İcra müddətinə var",'DP və TP'!$AD:$AD,"&lt;=4")</f>
        <v>0</v>
      </c>
      <c r="M22" s="33">
        <f>COUNTIFS('DP və TP'!$B:$B,B22,
'DP və TP'!$K:$K,"Tapşırıqların İcrasına Nəzarət platforması üzrə",
'DP və TP'!$AC:$AC,"Gecikmə",'DP və TP'!$AD:$AD,"&lt;=4")</f>
        <v>0</v>
      </c>
      <c r="N22" s="33">
        <f>COUNTIFS('DP və TP'!$B:$B,B22,
'DP və TP'!$K:$K,"Tapşırıqların İcrasına Nəzarət platforması üzrə",
'DP və TP'!$AC:$AC,"İcra olunmayıb",'DP və TP'!$AD:$AD,"&lt;=4")</f>
        <v>0</v>
      </c>
      <c r="O22" s="34">
        <f>COUNTIFS('DP və TP'!$B:$B,B22,
'DP və TP'!$K:$K,"Tapşırıqların İcrasına Nəzarət platforması üzrə",
'DP və TP'!$AC:$AC,"İcra olunmayıb, prioritet deyil",'DP və TP'!$AD:$AD,"&lt;=4")</f>
        <v>0</v>
      </c>
      <c r="P22" s="30"/>
    </row>
    <row r="23" spans="1:16" ht="22.5" customHeight="1" x14ac:dyDescent="0.3">
      <c r="A23" s="22">
        <v>13</v>
      </c>
      <c r="B23" s="23" t="s">
        <v>429</v>
      </c>
      <c r="C23" s="77">
        <f>COUNTIFS('DP və TP'!$B:$B,B23,'DP və TP'!$AD:$AD,"&lt;=4")</f>
        <v>3</v>
      </c>
      <c r="D23" s="81">
        <f>COUNTIFS('DP və TP'!$B:$B,B23,'DP və TP'!$AC:$AC,"Tam icra",'DP və TP'!$AD:$AD,"&lt;=4")</f>
        <v>0</v>
      </c>
      <c r="E23" s="32">
        <f>COUNTIFS('DP və TP'!$B:$B,B23,
'DP və TP'!$AC:$AC,"Qismən icra",'DP və TP'!$AD:$AD,"&lt;=4")</f>
        <v>0</v>
      </c>
      <c r="F23" s="32">
        <f>COUNTIFS('DP və TP'!$B:$B,B23,
'DP və TP'!$AC:$AC,"İcra müddətinə var",'DP və TP'!$AD:$AD,"&lt;=4")</f>
        <v>0</v>
      </c>
      <c r="G23" s="32">
        <f>COUNTIFS('DP və TP'!$B:$B,B23,
'DP və TP'!$AC:$AC,"Gecikmə",'DP və TP'!$AD:$AD,"&lt;=4")</f>
        <v>0</v>
      </c>
      <c r="H23" s="32">
        <f>COUNTIFS('DP və TP'!$B:$B,B23,
'DP və TP'!$AC:$AC,"İcra olunmayıb",'DP və TP'!$AD:$AD,"&lt;=4")</f>
        <v>0</v>
      </c>
      <c r="I23" s="32">
        <f>COUNTIFS('DP və TP'!$B:$B,B23,
'DP və TP'!$AC:$AC,"İcra olunmayıb, prioritet deyil",'DP və TP'!$AD:$AD,"&lt;=4")</f>
        <v>0</v>
      </c>
      <c r="J23" s="33">
        <f>COUNTIFS('DP və TP'!$B:$B,B23,
'DP və TP'!$K:$K,"Tapşırıqların İcrasına Nəzarət platforması üzrə",
'DP və TP'!$AC:$AC,"Tam icra",'DP və TP'!$AD:$AD,"&lt;=4")</f>
        <v>0</v>
      </c>
      <c r="K23" s="33">
        <f>COUNTIFS('DP və TP'!$B:$B,B23,
'DP və TP'!$K:$K,"Tapşırıqların İcrasına Nəzarət platforması üzrə",
'DP və TP'!$AC:$AC,"Qismən icra",'DP və TP'!$AD:$AD,"&lt;=4")</f>
        <v>0</v>
      </c>
      <c r="L23" s="33">
        <f>COUNTIFS('DP və TP'!$B:$B,B23,
'DP və TP'!$K:$K,"Tapşırıqların İcrasına Nəzarət platforması üzrə",
'DP və TP'!$AC:$AC,"İcra müddətinə var",'DP və TP'!$AD:$AD,"&lt;=4")</f>
        <v>0</v>
      </c>
      <c r="M23" s="33">
        <f>COUNTIFS('DP və TP'!$B:$B,B23,
'DP və TP'!$K:$K,"Tapşırıqların İcrasına Nəzarət platforması üzrə",
'DP və TP'!$AC:$AC,"Gecikmə",'DP və TP'!$AD:$AD,"&lt;=4")</f>
        <v>0</v>
      </c>
      <c r="N23" s="33">
        <f>COUNTIFS('DP və TP'!$B:$B,B23,
'DP və TP'!$K:$K,"Tapşırıqların İcrasına Nəzarət platforması üzrə",
'DP və TP'!$AC:$AC,"İcra olunmayıb",'DP və TP'!$AD:$AD,"&lt;=4")</f>
        <v>0</v>
      </c>
      <c r="O23" s="34">
        <f>COUNTIFS('DP və TP'!$B:$B,B23,
'DP və TP'!$K:$K,"Tapşırıqların İcrasına Nəzarət platforması üzrə",
'DP və TP'!$AC:$AC,"İcra olunmayıb, prioritet deyil",'DP və TP'!$AD:$AD,"&lt;=4")</f>
        <v>0</v>
      </c>
      <c r="P23" s="30">
        <f t="shared" ref="P23:P33" si="1">SUM(J23:O23)</f>
        <v>0</v>
      </c>
    </row>
    <row r="24" spans="1:16" ht="38.25" customHeight="1" x14ac:dyDescent="0.3">
      <c r="A24" s="22">
        <v>14</v>
      </c>
      <c r="B24" s="23" t="s">
        <v>161</v>
      </c>
      <c r="C24" s="77">
        <f>COUNTIFS('DP və TP'!$B:$B,B24,'DP və TP'!$AD:$AD,"&lt;=4")</f>
        <v>16</v>
      </c>
      <c r="D24" s="81">
        <f>COUNTIFS('DP və TP'!$B:$B,B24,'DP və TP'!$AC:$AC,"Tam icra",'DP və TP'!$AD:$AD,"&lt;=4")</f>
        <v>0</v>
      </c>
      <c r="E24" s="32">
        <f>COUNTIFS('DP və TP'!$B:$B,B24,
'DP və TP'!$AC:$AC,"Qismən icra",'DP və TP'!$AD:$AD,"&lt;=4")</f>
        <v>0</v>
      </c>
      <c r="F24" s="32">
        <f>COUNTIFS('DP və TP'!$B:$B,B24,
'DP və TP'!$AC:$AC,"İcra müddətinə var",'DP və TP'!$AD:$AD,"&lt;=4")</f>
        <v>0</v>
      </c>
      <c r="G24" s="32">
        <f>COUNTIFS('DP və TP'!$B:$B,B24,
'DP və TP'!$AC:$AC,"Gecikmə",'DP və TP'!$AD:$AD,"&lt;=4")</f>
        <v>0</v>
      </c>
      <c r="H24" s="32">
        <f>COUNTIFS('DP və TP'!$B:$B,B24,
'DP və TP'!$AC:$AC,"İcra olunmayıb",'DP və TP'!$AD:$AD,"&lt;=4")</f>
        <v>0</v>
      </c>
      <c r="I24" s="32">
        <f>COUNTIFS('DP və TP'!$B:$B,B24,
'DP və TP'!$AC:$AC,"İcra olunmayıb, prioritet deyil",'DP və TP'!$AD:$AD,"&lt;=4")</f>
        <v>0</v>
      </c>
      <c r="J24" s="33">
        <f>COUNTIFS('DP və TP'!$B:$B,B24,
'DP və TP'!$K:$K,"Tapşırıqların İcrasına Nəzarət platforması üzrə",
'DP və TP'!$AC:$AC,"Tam icra",'DP və TP'!$AD:$AD,"&lt;=4")</f>
        <v>0</v>
      </c>
      <c r="K24" s="33">
        <f>COUNTIFS('DP və TP'!$B:$B,B24,
'DP və TP'!$K:$K,"Tapşırıqların İcrasına Nəzarət platforması üzrə",
'DP və TP'!$AC:$AC,"Qismən icra",'DP və TP'!$AD:$AD,"&lt;=4")</f>
        <v>0</v>
      </c>
      <c r="L24" s="33">
        <f>COUNTIFS('DP və TP'!$B:$B,B24,
'DP və TP'!$K:$K,"Tapşırıqların İcrasına Nəzarət platforması üzrə",
'DP və TP'!$AC:$AC,"İcra müddətinə var",'DP və TP'!$AD:$AD,"&lt;=4")</f>
        <v>0</v>
      </c>
      <c r="M24" s="33">
        <f>COUNTIFS('DP və TP'!$B:$B,B24,
'DP və TP'!$K:$K,"Tapşırıqların İcrasına Nəzarət platforması üzrə",
'DP və TP'!$AC:$AC,"Gecikmə",'DP və TP'!$AD:$AD,"&lt;=4")</f>
        <v>0</v>
      </c>
      <c r="N24" s="33">
        <f>COUNTIFS('DP və TP'!$B:$B,B24,
'DP və TP'!$K:$K,"Tapşırıqların İcrasına Nəzarət platforması üzrə",
'DP və TP'!$AC:$AC,"İcra olunmayıb",'DP və TP'!$AD:$AD,"&lt;=4")</f>
        <v>0</v>
      </c>
      <c r="O24" s="34">
        <f>COUNTIFS('DP və TP'!$B:$B,B24,
'DP və TP'!$K:$K,"Tapşırıqların İcrasına Nəzarət platforması üzrə",
'DP və TP'!$AC:$AC,"İcra olunmayıb, prioritet deyil",'DP və TP'!$AD:$AD,"&lt;=4")</f>
        <v>0</v>
      </c>
      <c r="P24" s="43">
        <f t="shared" si="1"/>
        <v>0</v>
      </c>
    </row>
    <row r="25" spans="1:16" ht="36.75" customHeight="1" x14ac:dyDescent="0.3">
      <c r="A25" s="22">
        <v>15</v>
      </c>
      <c r="B25" s="23" t="s">
        <v>509</v>
      </c>
      <c r="C25" s="77">
        <f>COUNTIFS('DP və TP'!$B:$B,B25,'DP və TP'!$AD:$AD,"&lt;=4")</f>
        <v>2</v>
      </c>
      <c r="D25" s="81">
        <f>COUNTIFS('DP və TP'!$B:$B,B25,'DP və TP'!$AC:$AC,"Tam icra",'DP və TP'!$AD:$AD,"&lt;=4")</f>
        <v>0</v>
      </c>
      <c r="E25" s="32">
        <f>COUNTIFS('DP və TP'!$B:$B,B25,
'DP və TP'!$AC:$AC,"Qismən icra",'DP və TP'!$AD:$AD,"&lt;=4")</f>
        <v>0</v>
      </c>
      <c r="F25" s="32">
        <f>COUNTIFS('DP və TP'!$B:$B,B25,
'DP və TP'!$AC:$AC,"İcra müddətinə var",'DP və TP'!$AD:$AD,"&lt;=4")</f>
        <v>0</v>
      </c>
      <c r="G25" s="32">
        <f>COUNTIFS('DP və TP'!$B:$B,B25,
'DP və TP'!$AC:$AC,"Gecikmə",'DP və TP'!$AD:$AD,"&lt;=4")</f>
        <v>0</v>
      </c>
      <c r="H25" s="32">
        <f>COUNTIFS('DP və TP'!$B:$B,B25,
'DP və TP'!$AC:$AC,"İcra olunmayıb",'DP və TP'!$AD:$AD,"&lt;=4")</f>
        <v>0</v>
      </c>
      <c r="I25" s="32">
        <f>COUNTIFS('DP və TP'!$B:$B,B25,
'DP və TP'!$AC:$AC,"İcra olunmayıb, prioritet deyil",'DP və TP'!$AD:$AD,"&lt;=4")</f>
        <v>0</v>
      </c>
      <c r="J25" s="33">
        <f>COUNTIFS('DP və TP'!$B:$B,B25,
'DP və TP'!$K:$K,"Tapşırıqların İcrasına Nəzarət platforması üzrə",
'DP və TP'!$AC:$AC,"Tam icra",'DP və TP'!$AD:$AD,"&lt;=4")</f>
        <v>0</v>
      </c>
      <c r="K25" s="33">
        <f>COUNTIFS('DP və TP'!$B:$B,B25,
'DP və TP'!$K:$K,"Tapşırıqların İcrasına Nəzarət platforması üzrə",
'DP və TP'!$AC:$AC,"Qismən icra",'DP və TP'!$AD:$AD,"&lt;=4")</f>
        <v>0</v>
      </c>
      <c r="L25" s="33">
        <f>COUNTIFS('DP və TP'!$B:$B,B25,
'DP və TP'!$K:$K,"Tapşırıqların İcrasına Nəzarət platforması üzrə",
'DP və TP'!$AC:$AC,"İcra müddətinə var",'DP və TP'!$AD:$AD,"&lt;=4")</f>
        <v>0</v>
      </c>
      <c r="M25" s="33">
        <f>COUNTIFS('DP və TP'!$B:$B,B25,
'DP və TP'!$K:$K,"Tapşırıqların İcrasına Nəzarət platforması üzrə",
'DP və TP'!$AC:$AC,"Gecikmə",'DP və TP'!$AD:$AD,"&lt;=4")</f>
        <v>0</v>
      </c>
      <c r="N25" s="33">
        <f>COUNTIFS('DP və TP'!$B:$B,B25,
'DP və TP'!$K:$K,"Tapşırıqların İcrasına Nəzarət platforması üzrə",
'DP və TP'!$AC:$AC,"İcra olunmayıb",'DP və TP'!$AD:$AD,"&lt;=4")</f>
        <v>0</v>
      </c>
      <c r="O25" s="34">
        <f>COUNTIFS('DP və TP'!$B:$B,B25,
'DP və TP'!$K:$K,"Tapşırıqların İcrasına Nəzarət platforması üzrə",
'DP və TP'!$AC:$AC,"İcra olunmayıb, prioritet deyil",'DP və TP'!$AD:$AD,"&lt;=4")</f>
        <v>0</v>
      </c>
      <c r="P25" s="40">
        <f t="shared" si="1"/>
        <v>0</v>
      </c>
    </row>
    <row r="26" spans="1:16" ht="35.25" customHeight="1" x14ac:dyDescent="0.3">
      <c r="A26" s="22">
        <v>16</v>
      </c>
      <c r="B26" s="23" t="s">
        <v>236</v>
      </c>
      <c r="C26" s="77">
        <f>COUNTIFS('DP və TP'!$B:$B,B26,'DP və TP'!$AD:$AD,"&lt;=4")</f>
        <v>8</v>
      </c>
      <c r="D26" s="81">
        <f>COUNTIFS('DP və TP'!$B:$B,B26,'DP və TP'!$AC:$AC,"Tam icra",'DP və TP'!$AD:$AD,"&lt;=4")</f>
        <v>0</v>
      </c>
      <c r="E26" s="32">
        <f>COUNTIFS('DP və TP'!$B:$B,B26,
'DP və TP'!$AC:$AC,"Qismən icra",'DP və TP'!$AD:$AD,"&lt;=4")</f>
        <v>0</v>
      </c>
      <c r="F26" s="32">
        <f>COUNTIFS('DP və TP'!$B:$B,B26,
'DP və TP'!$AC:$AC,"İcra müddətinə var",'DP və TP'!$AD:$AD,"&lt;=4")</f>
        <v>0</v>
      </c>
      <c r="G26" s="32">
        <f>COUNTIFS('DP və TP'!$B:$B,B26,
'DP və TP'!$AC:$AC,"Gecikmə",'DP və TP'!$AD:$AD,"&lt;=4")</f>
        <v>0</v>
      </c>
      <c r="H26" s="32">
        <f>COUNTIFS('DP və TP'!$B:$B,B26,
'DP və TP'!$AC:$AC,"İcra olunmayıb",'DP və TP'!$AD:$AD,"&lt;=4")</f>
        <v>0</v>
      </c>
      <c r="I26" s="32">
        <f>COUNTIFS('DP və TP'!$B:$B,B26,
'DP və TP'!$AC:$AC,"İcra olunmayıb, prioritet deyil",'DP və TP'!$AD:$AD,"&lt;=4")</f>
        <v>0</v>
      </c>
      <c r="J26" s="33">
        <f>COUNTIFS('DP və TP'!$B:$B,B26,
'DP və TP'!$K:$K,"Tapşırıqların İcrasına Nəzarət platforması üzrə",
'DP və TP'!$AC:$AC,"Tam icra",'DP və TP'!$AD:$AD,"&lt;=4")</f>
        <v>0</v>
      </c>
      <c r="K26" s="33">
        <f>COUNTIFS('DP və TP'!$B:$B,B26,
'DP və TP'!$K:$K,"Tapşırıqların İcrasına Nəzarət platforması üzrə",
'DP və TP'!$AC:$AC,"Qismən icra",'DP və TP'!$AD:$AD,"&lt;=4")</f>
        <v>0</v>
      </c>
      <c r="L26" s="33">
        <f>COUNTIFS('DP və TP'!$B:$B,B26,
'DP və TP'!$K:$K,"Tapşırıqların İcrasına Nəzarət platforması üzrə",
'DP və TP'!$AC:$AC,"İcra müddətinə var",'DP və TP'!$AD:$AD,"&lt;=4")</f>
        <v>0</v>
      </c>
      <c r="M26" s="33">
        <f>COUNTIFS('DP və TP'!$B:$B,B26,
'DP və TP'!$K:$K,"Tapşırıqların İcrasına Nəzarət platforması üzrə",
'DP və TP'!$AC:$AC,"Gecikmə",'DP və TP'!$AD:$AD,"&lt;=4")</f>
        <v>0</v>
      </c>
      <c r="N26" s="33">
        <f>COUNTIFS('DP və TP'!$B:$B,B26,
'DP və TP'!$K:$K,"Tapşırıqların İcrasına Nəzarət platforması üzrə",
'DP və TP'!$AC:$AC,"İcra olunmayıb",'DP və TP'!$AD:$AD,"&lt;=4")</f>
        <v>0</v>
      </c>
      <c r="O26" s="34">
        <f>COUNTIFS('DP və TP'!$B:$B,B26,
'DP və TP'!$K:$K,"Tapşırıqların İcrasına Nəzarət platforması üzrə",
'DP və TP'!$AC:$AC,"İcra olunmayıb, prioritet deyil",'DP və TP'!$AD:$AD,"&lt;=4")</f>
        <v>0</v>
      </c>
      <c r="P26" s="30">
        <f t="shared" si="1"/>
        <v>0</v>
      </c>
    </row>
    <row r="27" spans="1:16" ht="35.25" customHeight="1" x14ac:dyDescent="0.3">
      <c r="A27" s="22">
        <v>17</v>
      </c>
      <c r="B27" s="23" t="s">
        <v>346</v>
      </c>
      <c r="C27" s="77">
        <f>COUNTIFS('DP və TP'!$B:$B,B27,'DP və TP'!$AD:$AD,"&lt;=4")</f>
        <v>12</v>
      </c>
      <c r="D27" s="81">
        <f>COUNTIFS('DP və TP'!$B:$B,B27,'DP və TP'!$AC:$AC,"Tam icra",'DP və TP'!$AD:$AD,"&lt;=4")</f>
        <v>0</v>
      </c>
      <c r="E27" s="32">
        <f>COUNTIFS('DP və TP'!$B:$B,B27,
'DP və TP'!$AC:$AC,"Qismən icra",'DP və TP'!$AD:$AD,"&lt;=4")</f>
        <v>0</v>
      </c>
      <c r="F27" s="32">
        <f>COUNTIFS('DP və TP'!$B:$B,B27,
'DP və TP'!$AC:$AC,"İcra müddətinə var",'DP və TP'!$AD:$AD,"&lt;=4")</f>
        <v>0</v>
      </c>
      <c r="G27" s="32">
        <f>COUNTIFS('DP və TP'!$B:$B,B27,
'DP və TP'!$AC:$AC,"Gecikmə",'DP və TP'!$AD:$AD,"&lt;=4")</f>
        <v>0</v>
      </c>
      <c r="H27" s="32">
        <f>COUNTIFS('DP və TP'!$B:$B,B27,
'DP və TP'!$AC:$AC,"İcra olunmayıb",'DP və TP'!$AD:$AD,"&lt;=4")</f>
        <v>0</v>
      </c>
      <c r="I27" s="32">
        <f>COUNTIFS('DP və TP'!$B:$B,B27,
'DP və TP'!$AC:$AC,"İcra olunmayıb, prioritet deyil",'DP və TP'!$AD:$AD,"&lt;=4")</f>
        <v>0</v>
      </c>
      <c r="J27" s="33">
        <f>COUNTIFS('DP və TP'!$B:$B,B27,
'DP və TP'!$K:$K,"Tapşırıqların İcrasına Nəzarət platforması üzrə",
'DP və TP'!$AC:$AC,"Tam icra",'DP və TP'!$AD:$AD,"&lt;=4")</f>
        <v>0</v>
      </c>
      <c r="K27" s="33">
        <f>COUNTIFS('DP və TP'!$B:$B,B27,
'DP və TP'!$K:$K,"Tapşırıqların İcrasına Nəzarət platforması üzrə",
'DP və TP'!$AC:$AC,"Qismən icra",'DP və TP'!$AD:$AD,"&lt;=4")</f>
        <v>0</v>
      </c>
      <c r="L27" s="33">
        <f>COUNTIFS('DP və TP'!$B:$B,B27,
'DP və TP'!$K:$K,"Tapşırıqların İcrasına Nəzarət platforması üzrə",
'DP və TP'!$AC:$AC,"İcra müddətinə var",'DP və TP'!$AD:$AD,"&lt;=4")</f>
        <v>0</v>
      </c>
      <c r="M27" s="33">
        <f>COUNTIFS('DP və TP'!$B:$B,B27,
'DP və TP'!$K:$K,"Tapşırıqların İcrasına Nəzarət platforması üzrə",
'DP və TP'!$AC:$AC,"Gecikmə",'DP və TP'!$AD:$AD,"&lt;=4")</f>
        <v>0</v>
      </c>
      <c r="N27" s="33">
        <f>COUNTIFS('DP və TP'!$B:$B,B27,
'DP və TP'!$K:$K,"Tapşırıqların İcrasına Nəzarət platforması üzrə",
'DP və TP'!$AC:$AC,"İcra olunmayıb",'DP və TP'!$AD:$AD,"&lt;=4")</f>
        <v>0</v>
      </c>
      <c r="O27" s="34">
        <f>COUNTIFS('DP və TP'!$B:$B,B27,
'DP və TP'!$K:$K,"Tapşırıqların İcrasına Nəzarət platforması üzrə",
'DP və TP'!$AC:$AC,"İcra olunmayıb, prioritet deyil",'DP və TP'!$AD:$AD,"&lt;=4")</f>
        <v>0</v>
      </c>
      <c r="P27" s="40">
        <f t="shared" si="1"/>
        <v>0</v>
      </c>
    </row>
    <row r="28" spans="1:16" ht="46.5" customHeight="1" x14ac:dyDescent="0.3">
      <c r="A28" s="22">
        <v>18</v>
      </c>
      <c r="B28" s="23" t="s">
        <v>30</v>
      </c>
      <c r="C28" s="77">
        <f>COUNTIFS('DP və TP'!$B:$B,B28,'DP və TP'!$AD:$AD,"&lt;=4")</f>
        <v>23</v>
      </c>
      <c r="D28" s="81">
        <f>COUNTIFS('DP və TP'!$B:$B,B28,'DP və TP'!$AC:$AC,"Tam icra",'DP və TP'!$AD:$AD,"&lt;=4")</f>
        <v>0</v>
      </c>
      <c r="E28" s="32">
        <f>COUNTIFS('DP və TP'!$B:$B,B28,
'DP və TP'!$AC:$AC,"Qismən icra",'DP və TP'!$AD:$AD,"&lt;=4")</f>
        <v>0</v>
      </c>
      <c r="F28" s="32">
        <f>COUNTIFS('DP və TP'!$B:$B,B28,
'DP və TP'!$AC:$AC,"İcra müddətinə var",'DP və TP'!$AD:$AD,"&lt;=4")</f>
        <v>0</v>
      </c>
      <c r="G28" s="32">
        <f>COUNTIFS('DP və TP'!$B:$B,B28,
'DP və TP'!$AC:$AC,"Gecikmə",'DP və TP'!$AD:$AD,"&lt;=4")</f>
        <v>0</v>
      </c>
      <c r="H28" s="32">
        <f>COUNTIFS('DP və TP'!$B:$B,B28,
'DP və TP'!$AC:$AC,"İcra olunmayıb",'DP və TP'!$AD:$AD,"&lt;=4")</f>
        <v>0</v>
      </c>
      <c r="I28" s="32">
        <f>COUNTIFS('DP və TP'!$B:$B,B28,
'DP və TP'!$AC:$AC,"İcra olunmayıb, prioritet deyil",'DP və TP'!$AD:$AD,"&lt;=4")</f>
        <v>0</v>
      </c>
      <c r="J28" s="33">
        <f>COUNTIFS('DP və TP'!$B:$B,B28,
'DP və TP'!$K:$K,"Tapşırıqların İcrasına Nəzarət platforması üzrə",
'DP və TP'!$AC:$AC,"Tam icra",'DP və TP'!$AD:$AD,"&lt;=4")</f>
        <v>0</v>
      </c>
      <c r="K28" s="33">
        <f>COUNTIFS('DP və TP'!$B:$B,B28,
'DP və TP'!$K:$K,"Tapşırıqların İcrasına Nəzarət platforması üzrə",
'DP və TP'!$AC:$AC,"Qismən icra",'DP və TP'!$AD:$AD,"&lt;=4")</f>
        <v>0</v>
      </c>
      <c r="L28" s="33">
        <f>COUNTIFS('DP və TP'!$B:$B,B28,
'DP və TP'!$K:$K,"Tapşırıqların İcrasına Nəzarət platforması üzrə",
'DP və TP'!$AC:$AC,"İcra müddətinə var",'DP və TP'!$AD:$AD,"&lt;=4")</f>
        <v>0</v>
      </c>
      <c r="M28" s="33">
        <f>COUNTIFS('DP və TP'!$B:$B,B28,
'DP və TP'!$K:$K,"Tapşırıqların İcrasına Nəzarət platforması üzrə",
'DP və TP'!$AC:$AC,"Gecikmə",'DP və TP'!$AD:$AD,"&lt;=4")</f>
        <v>0</v>
      </c>
      <c r="N28" s="33">
        <f>COUNTIFS('DP və TP'!$B:$B,B28,
'DP və TP'!$K:$K,"Tapşırıqların İcrasına Nəzarət platforması üzrə",
'DP və TP'!$AC:$AC,"İcra olunmayıb",'DP və TP'!$AD:$AD,"&lt;=4")</f>
        <v>0</v>
      </c>
      <c r="O28" s="34">
        <f>COUNTIFS('DP və TP'!$B:$B,B28,
'DP və TP'!$K:$K,"Tapşırıqların İcrasına Nəzarət platforması üzrə",
'DP və TP'!$AC:$AC,"İcra olunmayıb, prioritet deyil",'DP və TP'!$AD:$AD,"&lt;=4")</f>
        <v>0</v>
      </c>
      <c r="P28" s="40">
        <f t="shared" si="1"/>
        <v>0</v>
      </c>
    </row>
    <row r="29" spans="1:16" ht="21" customHeight="1" x14ac:dyDescent="0.3">
      <c r="A29" s="22">
        <v>19</v>
      </c>
      <c r="B29" s="74" t="s">
        <v>456</v>
      </c>
      <c r="C29" s="77">
        <f>COUNTIFS('DP və TP'!$B:$B,B29,'DP və TP'!$AD:$AD,"&lt;=4")</f>
        <v>12</v>
      </c>
      <c r="D29" s="81">
        <f>COUNTIFS('DP və TP'!$B:$B,B29,'DP və TP'!$AC:$AC,"Tam icra",'DP və TP'!$AD:$AD,"&lt;=4")</f>
        <v>0</v>
      </c>
      <c r="E29" s="32">
        <f>COUNTIFS('DP və TP'!$B:$B,B29,
'DP və TP'!$AC:$AC,"Qismən icra",'DP və TP'!$AD:$AD,"&lt;=4")</f>
        <v>0</v>
      </c>
      <c r="F29" s="32">
        <f>COUNTIFS('DP və TP'!$B:$B,B29,
'DP və TP'!$AC:$AC,"İcra müddətinə var",'DP və TP'!$AD:$AD,"&lt;=4")</f>
        <v>0</v>
      </c>
      <c r="G29" s="32">
        <f>COUNTIFS('DP və TP'!$B:$B,B29,
'DP və TP'!$AC:$AC,"Gecikmə",'DP və TP'!$AD:$AD,"&lt;=4")</f>
        <v>0</v>
      </c>
      <c r="H29" s="32">
        <f>COUNTIFS('DP və TP'!$B:$B,B29,
'DP və TP'!$AC:$AC,"İcra olunmayıb",'DP və TP'!$AD:$AD,"&lt;=4")</f>
        <v>0</v>
      </c>
      <c r="I29" s="32">
        <f>COUNTIFS('DP və TP'!$B:$B,B29,
'DP və TP'!$AC:$AC,"İcra olunmayıb, prioritet deyil",'DP və TP'!$AD:$AD,"&lt;=4")</f>
        <v>0</v>
      </c>
      <c r="J29" s="33">
        <f>COUNTIFS('DP və TP'!$B:$B,B29,
'DP və TP'!$K:$K,"Tapşırıqların İcrasına Nəzarət platforması üzrə",
'DP və TP'!$AC:$AC,"Tam icra",'DP və TP'!$AD:$AD,"&lt;=4")</f>
        <v>0</v>
      </c>
      <c r="K29" s="33">
        <f>COUNTIFS('DP və TP'!$B:$B,B29,
'DP və TP'!$K:$K,"Tapşırıqların İcrasına Nəzarət platforması üzrə",
'DP və TP'!$AC:$AC,"Qismən icra",'DP və TP'!$AD:$AD,"&lt;=4")</f>
        <v>0</v>
      </c>
      <c r="L29" s="33">
        <f>COUNTIFS('DP və TP'!$B:$B,B29,
'DP və TP'!$K:$K,"Tapşırıqların İcrasına Nəzarət platforması üzrə",
'DP və TP'!$AC:$AC,"İcra müddətinə var",'DP və TP'!$AD:$AD,"&lt;=4")</f>
        <v>0</v>
      </c>
      <c r="M29" s="33">
        <f>COUNTIFS('DP və TP'!$B:$B,B29,
'DP və TP'!$K:$K,"Tapşırıqların İcrasına Nəzarət platforması üzrə",
'DP və TP'!$AC:$AC,"Gecikmə",'DP və TP'!$AD:$AD,"&lt;=4")</f>
        <v>0</v>
      </c>
      <c r="N29" s="33">
        <f>COUNTIFS('DP və TP'!$B:$B,B29,
'DP və TP'!$K:$K,"Tapşırıqların İcrasına Nəzarət platforması üzrə",
'DP və TP'!$AC:$AC,"İcra olunmayıb",'DP və TP'!$AD:$AD,"&lt;=4")</f>
        <v>0</v>
      </c>
      <c r="O29" s="34">
        <f>COUNTIFS('DP və TP'!$B:$B,B29,
'DP və TP'!$K:$K,"Tapşırıqların İcrasına Nəzarət platforması üzrə",
'DP və TP'!$AC:$AC,"İcra olunmayıb, prioritet deyil",'DP və TP'!$AD:$AD,"&lt;=4")</f>
        <v>0</v>
      </c>
      <c r="P29" s="30">
        <f t="shared" si="1"/>
        <v>0</v>
      </c>
    </row>
    <row r="30" spans="1:16" ht="27" customHeight="1" x14ac:dyDescent="0.3">
      <c r="A30" s="22">
        <v>20</v>
      </c>
      <c r="B30" s="23" t="s">
        <v>139</v>
      </c>
      <c r="C30" s="77">
        <f>COUNTIFS('DP və TP'!$B:$B,B30,'DP və TP'!$AD:$AD,"&lt;=4")</f>
        <v>2</v>
      </c>
      <c r="D30" s="81">
        <f>COUNTIFS('DP və TP'!$B:$B,B30,'DP və TP'!$AC:$AC,"Tam icra",'DP və TP'!$AD:$AD,"&lt;=4")</f>
        <v>0</v>
      </c>
      <c r="E30" s="32">
        <f>COUNTIFS('DP və TP'!$B:$B,B30,
'DP və TP'!$AC:$AC,"Qismən icra",'DP və TP'!$AD:$AD,"&lt;=4")</f>
        <v>0</v>
      </c>
      <c r="F30" s="32">
        <f>COUNTIFS('DP və TP'!$B:$B,B30,
'DP və TP'!$AC:$AC,"İcra müddətinə var",'DP və TP'!$AD:$AD,"&lt;=4")</f>
        <v>0</v>
      </c>
      <c r="G30" s="32">
        <f>COUNTIFS('DP və TP'!$B:$B,B30,
'DP və TP'!$AC:$AC,"Gecikmə",'DP və TP'!$AD:$AD,"&lt;=4")</f>
        <v>0</v>
      </c>
      <c r="H30" s="32">
        <f>COUNTIFS('DP və TP'!$B:$B,B30,
'DP və TP'!$AC:$AC,"İcra olunmayıb",'DP və TP'!$AD:$AD,"&lt;=4")</f>
        <v>0</v>
      </c>
      <c r="I30" s="32">
        <f>COUNTIFS('DP və TP'!$B:$B,B30,
'DP və TP'!$AC:$AC,"İcra olunmayıb, prioritet deyil",'DP və TP'!$AD:$AD,"&lt;=4")</f>
        <v>0</v>
      </c>
      <c r="J30" s="33">
        <f>COUNTIFS('DP və TP'!$B:$B,B30,
'DP və TP'!$K:$K,"Tapşırıqların İcrasına Nəzarət platforması üzrə",
'DP və TP'!$AC:$AC,"Tam icra",'DP və TP'!$AD:$AD,"&lt;=4")</f>
        <v>0</v>
      </c>
      <c r="K30" s="33">
        <f>COUNTIFS('DP və TP'!$B:$B,B30,
'DP və TP'!$K:$K,"Tapşırıqların İcrasına Nəzarət platforması üzrə",
'DP və TP'!$AC:$AC,"Qismən icra",'DP və TP'!$AD:$AD,"&lt;=4")</f>
        <v>0</v>
      </c>
      <c r="L30" s="33">
        <f>COUNTIFS('DP və TP'!$B:$B,B30,
'DP və TP'!$K:$K,"Tapşırıqların İcrasına Nəzarət platforması üzrə",
'DP və TP'!$AC:$AC,"İcra müddətinə var",'DP və TP'!$AD:$AD,"&lt;=4")</f>
        <v>0</v>
      </c>
      <c r="M30" s="33">
        <f>COUNTIFS('DP və TP'!$B:$B,B30,
'DP və TP'!$K:$K,"Tapşırıqların İcrasına Nəzarət platforması üzrə",
'DP və TP'!$AC:$AC,"Gecikmə",'DP və TP'!$AD:$AD,"&lt;=4")</f>
        <v>0</v>
      </c>
      <c r="N30" s="33">
        <f>COUNTIFS('DP və TP'!$B:$B,B30,
'DP və TP'!$K:$K,"Tapşırıqların İcrasına Nəzarət platforması üzrə",
'DP və TP'!$AC:$AC,"İcra olunmayıb",'DP və TP'!$AD:$AD,"&lt;=4")</f>
        <v>0</v>
      </c>
      <c r="O30" s="34">
        <f>COUNTIFS('DP və TP'!$B:$B,B30,
'DP və TP'!$K:$K,"Tapşırıqların İcrasına Nəzarət platforması üzrə",
'DP və TP'!$AC:$AC,"İcra olunmayıb, prioritet deyil",'DP və TP'!$AD:$AD,"&lt;=4")</f>
        <v>0</v>
      </c>
      <c r="P30" s="40">
        <f t="shared" si="1"/>
        <v>0</v>
      </c>
    </row>
    <row r="31" spans="1:16" ht="31.5" customHeight="1" x14ac:dyDescent="0.3">
      <c r="A31" s="22">
        <v>21</v>
      </c>
      <c r="B31" s="23" t="s">
        <v>421</v>
      </c>
      <c r="C31" s="77">
        <f>COUNTIFS('DP və TP'!$B:$B,B31,'DP və TP'!$AD:$AD,"&lt;=4")</f>
        <v>1</v>
      </c>
      <c r="D31" s="81">
        <f>COUNTIFS('DP və TP'!$B:$B,B31,'DP və TP'!$AC:$AC,"Tam icra",'DP və TP'!$AD:$AD,"&lt;=4")</f>
        <v>0</v>
      </c>
      <c r="E31" s="32">
        <f>COUNTIFS('DP və TP'!$B:$B,B31,
'DP və TP'!$AC:$AC,"Qismən icra",'DP və TP'!$AD:$AD,"&lt;=4")</f>
        <v>0</v>
      </c>
      <c r="F31" s="32">
        <f>COUNTIFS('DP və TP'!$B:$B,B31,
'DP və TP'!$AC:$AC,"İcra müddətinə var",'DP və TP'!$AD:$AD,"&lt;=4")</f>
        <v>0</v>
      </c>
      <c r="G31" s="32">
        <f>COUNTIFS('DP və TP'!$B:$B,B31,
'DP və TP'!$AC:$AC,"Gecikmə",'DP və TP'!$AD:$AD,"&lt;=4")</f>
        <v>0</v>
      </c>
      <c r="H31" s="32">
        <f>COUNTIFS('DP və TP'!$B:$B,B31,
'DP və TP'!$AC:$AC,"İcra olunmayıb",'DP və TP'!$AD:$AD,"&lt;=4")</f>
        <v>0</v>
      </c>
      <c r="I31" s="32">
        <f>COUNTIFS('DP və TP'!$B:$B,B31,
'DP və TP'!$AC:$AC,"İcra olunmayıb, prioritet deyil",'DP və TP'!$AD:$AD,"&lt;=4")</f>
        <v>0</v>
      </c>
      <c r="J31" s="33">
        <f>COUNTIFS('DP və TP'!$B:$B,B31,
'DP və TP'!$K:$K,"Tapşırıqların İcrasına Nəzarət platforması üzrə",
'DP və TP'!$AC:$AC,"Tam icra",'DP və TP'!$AD:$AD,"&lt;=4")</f>
        <v>0</v>
      </c>
      <c r="K31" s="33">
        <f>COUNTIFS('DP və TP'!$B:$B,B31,
'DP və TP'!$K:$K,"Tapşırıqların İcrasına Nəzarət platforması üzrə",
'DP və TP'!$AC:$AC,"Qismən icra",'DP və TP'!$AD:$AD,"&lt;=4")</f>
        <v>0</v>
      </c>
      <c r="L31" s="33">
        <f>COUNTIFS('DP və TP'!$B:$B,B31,
'DP və TP'!$K:$K,"Tapşırıqların İcrasına Nəzarət platforması üzrə",
'DP və TP'!$AC:$AC,"İcra müddətinə var",'DP və TP'!$AD:$AD,"&lt;=4")</f>
        <v>0</v>
      </c>
      <c r="M31" s="33">
        <f>COUNTIFS('DP və TP'!$B:$B,B31,
'DP və TP'!$K:$K,"Tapşırıqların İcrasına Nəzarət platforması üzrə",
'DP və TP'!$AC:$AC,"Gecikmə",'DP və TP'!$AD:$AD,"&lt;=4")</f>
        <v>0</v>
      </c>
      <c r="N31" s="33">
        <f>COUNTIFS('DP və TP'!$B:$B,B31,
'DP və TP'!$K:$K,"Tapşırıqların İcrasına Nəzarət platforması üzrə",
'DP və TP'!$AC:$AC,"İcra olunmayıb",'DP və TP'!$AD:$AD,"&lt;=4")</f>
        <v>0</v>
      </c>
      <c r="O31" s="34">
        <f>COUNTIFS('DP və TP'!$B:$B,B31,
'DP və TP'!$K:$K,"Tapşırıqların İcrasına Nəzarət platforması üzrə",
'DP və TP'!$AC:$AC,"İcra olunmayıb, prioritet deyil",'DP və TP'!$AD:$AD,"&lt;=4")</f>
        <v>0</v>
      </c>
      <c r="P31" s="43">
        <f t="shared" si="1"/>
        <v>0</v>
      </c>
    </row>
    <row r="32" spans="1:16" ht="29.25" customHeight="1" x14ac:dyDescent="0.3">
      <c r="A32" s="22">
        <v>22</v>
      </c>
      <c r="B32" s="23" t="s">
        <v>129</v>
      </c>
      <c r="C32" s="77">
        <f>COUNTIFS('DP və TP'!$B:$B,B32,'DP və TP'!$AD:$AD,"&lt;=4")</f>
        <v>4</v>
      </c>
      <c r="D32" s="81">
        <f>COUNTIFS('DP və TP'!$B:$B,B32,'DP və TP'!$AC:$AC,"Tam icra",'DP və TP'!$AD:$AD,"&lt;=4")</f>
        <v>0</v>
      </c>
      <c r="E32" s="32">
        <f>COUNTIFS('DP və TP'!$B:$B,B32,
'DP və TP'!$AC:$AC,"Qismən icra",'DP və TP'!$AD:$AD,"&lt;=4")</f>
        <v>0</v>
      </c>
      <c r="F32" s="32">
        <f>COUNTIFS('DP və TP'!$B:$B,B32,
'DP və TP'!$AC:$AC,"İcra müddətinə var",'DP və TP'!$AD:$AD,"&lt;=4")</f>
        <v>0</v>
      </c>
      <c r="G32" s="32">
        <f>COUNTIFS('DP və TP'!$B:$B,B32,
'DP və TP'!$AC:$AC,"Gecikmə",'DP və TP'!$AD:$AD,"&lt;=4")</f>
        <v>0</v>
      </c>
      <c r="H32" s="32">
        <f>COUNTIFS('DP və TP'!$B:$B,B32,
'DP və TP'!$AC:$AC,"İcra olunmayıb",'DP və TP'!$AD:$AD,"&lt;=4")</f>
        <v>0</v>
      </c>
      <c r="I32" s="32">
        <f>COUNTIFS('DP və TP'!$B:$B,B32,
'DP və TP'!$AC:$AC,"İcra olunmayıb, prioritet deyil",'DP və TP'!$AD:$AD,"&lt;=4")</f>
        <v>0</v>
      </c>
      <c r="J32" s="33">
        <f>COUNTIFS('DP və TP'!$B:$B,B32,
'DP və TP'!$K:$K,"Tapşırıqların İcrasına Nəzarət platforması üzrə",
'DP və TP'!$AC:$AC,"Tam icra",'DP və TP'!$AD:$AD,"&lt;=4")</f>
        <v>0</v>
      </c>
      <c r="K32" s="33">
        <f>COUNTIFS('DP və TP'!$B:$B,B32,
'DP və TP'!$K:$K,"Tapşırıqların İcrasına Nəzarət platforması üzrə",
'DP və TP'!$AC:$AC,"Qismən icra",'DP və TP'!$AD:$AD,"&lt;=4")</f>
        <v>0</v>
      </c>
      <c r="L32" s="33">
        <f>COUNTIFS('DP və TP'!$B:$B,B32,
'DP və TP'!$K:$K,"Tapşırıqların İcrasına Nəzarət platforması üzrə",
'DP və TP'!$AC:$AC,"İcra müddətinə var",'DP və TP'!$AD:$AD,"&lt;=4")</f>
        <v>0</v>
      </c>
      <c r="M32" s="33">
        <f>COUNTIFS('DP və TP'!$B:$B,B32,
'DP və TP'!$K:$K,"Tapşırıqların İcrasına Nəzarət platforması üzrə",
'DP və TP'!$AC:$AC,"Gecikmə",'DP və TP'!$AD:$AD,"&lt;=4")</f>
        <v>0</v>
      </c>
      <c r="N32" s="33">
        <f>COUNTIFS('DP və TP'!$B:$B,B32,
'DP və TP'!$K:$K,"Tapşırıqların İcrasına Nəzarət platforması üzrə",
'DP və TP'!$AC:$AC,"İcra olunmayıb",'DP və TP'!$AD:$AD,"&lt;=4")</f>
        <v>0</v>
      </c>
      <c r="O32" s="34">
        <f>COUNTIFS('DP və TP'!$B:$B,B32,
'DP və TP'!$K:$K,"Tapşırıqların İcrasına Nəzarət platforması üzrə",
'DP və TP'!$AC:$AC,"İcra olunmayıb, prioritet deyil",'DP və TP'!$AD:$AD,"&lt;=4")</f>
        <v>0</v>
      </c>
      <c r="P32" s="40">
        <f t="shared" si="1"/>
        <v>0</v>
      </c>
    </row>
    <row r="33" spans="1:16" ht="21.75" customHeight="1" x14ac:dyDescent="0.3">
      <c r="A33" s="22">
        <v>23</v>
      </c>
      <c r="B33" s="23" t="s">
        <v>544</v>
      </c>
      <c r="C33" s="77">
        <f>COUNTIFS('DP və TP'!$B:$B,B33,'DP və TP'!$AD:$AD,"&lt;=4")</f>
        <v>4</v>
      </c>
      <c r="D33" s="81">
        <f>COUNTIFS('DP və TP'!$B:$B,B33,'DP və TP'!$AC:$AC,"Tam icra",'DP və TP'!$AD:$AD,"&lt;=4")</f>
        <v>0</v>
      </c>
      <c r="E33" s="32">
        <f>COUNTIFS('DP və TP'!$B:$B,B33,
'DP və TP'!$AC:$AC,"Qismən icra",'DP və TP'!$AD:$AD,"&lt;=4")</f>
        <v>0</v>
      </c>
      <c r="F33" s="32">
        <f>COUNTIFS('DP və TP'!$B:$B,B33,
'DP və TP'!$AC:$AC,"İcra müddətinə var",'DP və TP'!$AD:$AD,"&lt;=4")</f>
        <v>0</v>
      </c>
      <c r="G33" s="32">
        <f>COUNTIFS('DP və TP'!$B:$B,B33,
'DP və TP'!$AC:$AC,"Gecikmə",'DP və TP'!$AD:$AD,"&lt;=4")</f>
        <v>0</v>
      </c>
      <c r="H33" s="32">
        <f>COUNTIFS('DP və TP'!$B:$B,B33,
'DP və TP'!$AC:$AC,"İcra olunmayıb",'DP və TP'!$AD:$AD,"&lt;=4")</f>
        <v>0</v>
      </c>
      <c r="I33" s="32">
        <f>COUNTIFS('DP və TP'!$B:$B,B33,
'DP və TP'!$AC:$AC,"İcra olunmayıb, prioritet deyil",'DP və TP'!$AD:$AD,"&lt;=4")</f>
        <v>0</v>
      </c>
      <c r="J33" s="33">
        <f>COUNTIFS('DP və TP'!$B:$B,B33,
'DP və TP'!$K:$K,"Tapşırıqların İcrasına Nəzarət platforması üzrə",
'DP və TP'!$AC:$AC,"Tam icra",'DP və TP'!$AD:$AD,"&lt;=4")</f>
        <v>0</v>
      </c>
      <c r="K33" s="33">
        <f>COUNTIFS('DP və TP'!$B:$B,B33,
'DP və TP'!$K:$K,"Tapşırıqların İcrasına Nəzarət platforması üzrə",
'DP və TP'!$AC:$AC,"Qismən icra",'DP və TP'!$AD:$AD,"&lt;=4")</f>
        <v>0</v>
      </c>
      <c r="L33" s="33">
        <f>COUNTIFS('DP və TP'!$B:$B,B33,
'DP və TP'!$K:$K,"Tapşırıqların İcrasına Nəzarət platforması üzrə",
'DP və TP'!$AC:$AC,"İcra müddətinə var",'DP və TP'!$AD:$AD,"&lt;=4")</f>
        <v>0</v>
      </c>
      <c r="M33" s="33">
        <f>COUNTIFS('DP və TP'!$B:$B,B33,
'DP və TP'!$K:$K,"Tapşırıqların İcrasına Nəzarət platforması üzrə",
'DP və TP'!$AC:$AC,"Gecikmə",'DP və TP'!$AD:$AD,"&lt;=4")</f>
        <v>0</v>
      </c>
      <c r="N33" s="33">
        <f>COUNTIFS('DP və TP'!$B:$B,B33,
'DP və TP'!$K:$K,"Tapşırıqların İcrasına Nəzarət platforması üzrə",
'DP və TP'!$AC:$AC,"İcra olunmayıb",'DP və TP'!$AD:$AD,"&lt;=4")</f>
        <v>0</v>
      </c>
      <c r="O33" s="34">
        <f>COUNTIFS('DP və TP'!$B:$B,B33,
'DP və TP'!$K:$K,"Tapşırıqların İcrasına Nəzarət platforması üzrə",
'DP və TP'!$AC:$AC,"İcra olunmayıb, prioritet deyil",'DP və TP'!$AD:$AD,"&lt;=4")</f>
        <v>0</v>
      </c>
      <c r="P33" s="51">
        <f t="shared" si="1"/>
        <v>0</v>
      </c>
    </row>
    <row r="34" spans="1:16" ht="46.5" customHeight="1" x14ac:dyDescent="0.3">
      <c r="A34" s="22">
        <v>24</v>
      </c>
      <c r="B34" s="52" t="s">
        <v>641</v>
      </c>
      <c r="C34" s="77">
        <f>COUNTIFS('DP və TP'!$B:$B,B34,'DP və TP'!$AD:$AD,"&lt;=4")</f>
        <v>18</v>
      </c>
      <c r="D34" s="81">
        <f>COUNTIFS('DP və TP'!$B:$B,B34,'DP və TP'!$AC:$AC,"Tam icra",'DP və TP'!$AD:$AD,"&lt;=4")</f>
        <v>0</v>
      </c>
      <c r="E34" s="32">
        <f>COUNTIFS('DP və TP'!$B:$B,B34,
'DP və TP'!$AC:$AC,"Qismən icra",'DP və TP'!$AD:$AD,"&lt;=4")</f>
        <v>0</v>
      </c>
      <c r="F34" s="32">
        <f>COUNTIFS('DP və TP'!$B:$B,B34,
'DP və TP'!$AC:$AC,"İcra müddətinə var",'DP və TP'!$AD:$AD,"&lt;=4")</f>
        <v>0</v>
      </c>
      <c r="G34" s="32">
        <f>COUNTIFS('DP və TP'!$B:$B,B34,
'DP və TP'!$AC:$AC,"Gecikmə",'DP və TP'!$AD:$AD,"&lt;=4")</f>
        <v>0</v>
      </c>
      <c r="H34" s="32">
        <f>COUNTIFS('DP və TP'!$B:$B,B34,
'DP və TP'!$AC:$AC,"İcra olunmayıb",'DP və TP'!$AD:$AD,"&lt;=4")</f>
        <v>0</v>
      </c>
      <c r="I34" s="32">
        <f>COUNTIFS('DP və TP'!$B:$B,B34,
'DP və TP'!$AC:$AC,"İcra olunmayıb, prioritet deyil",'DP və TP'!$AD:$AD,"&lt;=4")</f>
        <v>0</v>
      </c>
      <c r="J34" s="33">
        <f>COUNTIFS('DP və TP'!$B:$B,B34,
'DP və TP'!$K:$K,"Tapşırıqların İcrasına Nəzarət platforması üzrə",
'DP və TP'!$AC:$AC,"Tam icra",'DP və TP'!$AD:$AD,"&lt;=4")</f>
        <v>0</v>
      </c>
      <c r="K34" s="33">
        <f>COUNTIFS('DP və TP'!$B:$B,B34,
'DP və TP'!$K:$K,"Tapşırıqların İcrasına Nəzarət platforması üzrə",
'DP və TP'!$AC:$AC,"Qismən icra",'DP və TP'!$AD:$AD,"&lt;=4")</f>
        <v>0</v>
      </c>
      <c r="L34" s="33">
        <f>COUNTIFS('DP və TP'!$B:$B,B34,
'DP və TP'!$K:$K,"Tapşırıqların İcrasına Nəzarət platforması üzrə",
'DP və TP'!$AC:$AC,"İcra müddətinə var",'DP və TP'!$AD:$AD,"&lt;=4")</f>
        <v>0</v>
      </c>
      <c r="M34" s="33">
        <f>COUNTIFS('DP və TP'!$B:$B,B34,
'DP və TP'!$K:$K,"Tapşırıqların İcrasına Nəzarət platforması üzrə",
'DP və TP'!$AC:$AC,"Gecikmə",'DP və TP'!$AD:$AD,"&lt;=4")</f>
        <v>0</v>
      </c>
      <c r="N34" s="33">
        <f>COUNTIFS('DP və TP'!$B:$B,B34,
'DP və TP'!$K:$K,"Tapşırıqların İcrasına Nəzarət platforması üzrə",
'DP və TP'!$AC:$AC,"İcra olunmayıb",'DP və TP'!$AD:$AD,"&lt;=4")</f>
        <v>0</v>
      </c>
      <c r="O34" s="34">
        <f>COUNTIFS('DP və TP'!$B:$B,B34,
'DP və TP'!$K:$K,"Tapşırıqların İcrasına Nəzarət platforması üzrə",
'DP və TP'!$AC:$AC,"İcra olunmayıb, prioritet deyil",'DP və TP'!$AD:$AD,"&lt;=4")</f>
        <v>0</v>
      </c>
      <c r="P34" s="43"/>
    </row>
    <row r="35" spans="1:16" ht="36" customHeight="1" x14ac:dyDescent="0.3">
      <c r="A35" s="22">
        <v>25</v>
      </c>
      <c r="B35" s="52" t="s">
        <v>561</v>
      </c>
      <c r="C35" s="77">
        <f>COUNTIFS('DP və TP'!$B:$B,B35,'DP və TP'!$AD:$AD,"&lt;=4")</f>
        <v>28</v>
      </c>
      <c r="D35" s="81">
        <f>COUNTIFS('DP və TP'!$B:$B,B35,'DP və TP'!$AC:$AC,"Tam icra",'DP və TP'!$AD:$AD,"&lt;=4")</f>
        <v>0</v>
      </c>
      <c r="E35" s="32">
        <f>COUNTIFS('DP və TP'!$B:$B,B35,
'DP və TP'!$AC:$AC,"Qismən icra",'DP və TP'!$AD:$AD,"&lt;=4")</f>
        <v>0</v>
      </c>
      <c r="F35" s="32">
        <f>COUNTIFS('DP və TP'!$B:$B,B35,
'DP və TP'!$AC:$AC,"İcra müddətinə var",'DP və TP'!$AD:$AD,"&lt;=4")</f>
        <v>0</v>
      </c>
      <c r="G35" s="32">
        <f>COUNTIFS('DP və TP'!$B:$B,B35,
'DP və TP'!$AC:$AC,"Gecikmə",'DP və TP'!$AD:$AD,"&lt;=4")</f>
        <v>0</v>
      </c>
      <c r="H35" s="32">
        <f>COUNTIFS('DP və TP'!$B:$B,B35,
'DP və TP'!$AC:$AC,"İcra olunmayıb",'DP və TP'!$AD:$AD,"&lt;=4")</f>
        <v>0</v>
      </c>
      <c r="I35" s="32">
        <f>COUNTIFS('DP və TP'!$B:$B,B35,
'DP və TP'!$AC:$AC,"İcra olunmayıb, prioritet deyil",'DP və TP'!$AD:$AD,"&lt;=4")</f>
        <v>0</v>
      </c>
      <c r="J35" s="33">
        <f>COUNTIFS('DP və TP'!$B:$B,B35,
'DP və TP'!$K:$K,"Tapşırıqların İcrasına Nəzarət platforması üzrə",
'DP və TP'!$AC:$AC,"Tam icra",'DP və TP'!$AD:$AD,"&lt;=4")</f>
        <v>0</v>
      </c>
      <c r="K35" s="33">
        <f>COUNTIFS('DP və TP'!$B:$B,B35,
'DP və TP'!$K:$K,"Tapşırıqların İcrasına Nəzarət platforması üzrə",
'DP və TP'!$AC:$AC,"Qismən icra",'DP və TP'!$AD:$AD,"&lt;=4")</f>
        <v>0</v>
      </c>
      <c r="L35" s="33">
        <f>COUNTIFS('DP və TP'!$B:$B,B35,
'DP və TP'!$K:$K,"Tapşırıqların İcrasına Nəzarət platforması üzrə",
'DP və TP'!$AC:$AC,"İcra müddətinə var",'DP və TP'!$AD:$AD,"&lt;=4")</f>
        <v>0</v>
      </c>
      <c r="M35" s="33">
        <f>COUNTIFS('DP və TP'!$B:$B,B35,
'DP və TP'!$K:$K,"Tapşırıqların İcrasına Nəzarət platforması üzrə",
'DP və TP'!$AC:$AC,"Gecikmə",'DP və TP'!$AD:$AD,"&lt;=4")</f>
        <v>0</v>
      </c>
      <c r="N35" s="33">
        <f>COUNTIFS('DP və TP'!$B:$B,B35,
'DP və TP'!$K:$K,"Tapşırıqların İcrasına Nəzarət platforması üzrə",
'DP və TP'!$AC:$AC,"İcra olunmayıb",'DP və TP'!$AD:$AD,"&lt;=4")</f>
        <v>0</v>
      </c>
      <c r="O35" s="34">
        <f>COUNTIFS('DP və TP'!$B:$B,B35,
'DP və TP'!$K:$K,"Tapşırıqların İcrasına Nəzarət platforması üzrə",
'DP və TP'!$AC:$AC,"İcra olunmayıb, prioritet deyil",'DP və TP'!$AD:$AD,"&lt;=4")</f>
        <v>0</v>
      </c>
      <c r="P35" s="40">
        <f>SUM(J35:O35)</f>
        <v>0</v>
      </c>
    </row>
    <row r="36" spans="1:16" ht="36" customHeight="1" x14ac:dyDescent="0.3">
      <c r="A36" s="22">
        <v>26</v>
      </c>
      <c r="B36" s="52" t="s">
        <v>685</v>
      </c>
      <c r="C36" s="77">
        <f>COUNTIFS('DP və TP'!$B:$B,B36,'DP və TP'!$AD:$AD,"&lt;=4")</f>
        <v>124</v>
      </c>
      <c r="D36" s="81">
        <f>COUNTIFS('DP və TP'!$B:$B,B36,'DP və TP'!$AC:$AC,"Tam icra",'DP və TP'!$AD:$AD,"&lt;=4")</f>
        <v>0</v>
      </c>
      <c r="E36" s="32">
        <f>COUNTIFS('DP və TP'!$B:$B,B36,
'DP və TP'!$AC:$AC,"Qismən icra",'DP və TP'!$AD:$AD,"&lt;=4")</f>
        <v>0</v>
      </c>
      <c r="F36" s="32">
        <f>COUNTIFS('DP və TP'!$B:$B,B36,
'DP və TP'!$AC:$AC,"İcra müddətinə var",'DP və TP'!$AD:$AD,"&lt;=4")</f>
        <v>0</v>
      </c>
      <c r="G36" s="32">
        <f>COUNTIFS('DP və TP'!$B:$B,B36,
'DP və TP'!$AC:$AC,"Gecikmə",'DP və TP'!$AD:$AD,"&lt;=4")</f>
        <v>0</v>
      </c>
      <c r="H36" s="32">
        <f>COUNTIFS('DP və TP'!$B:$B,B36,
'DP və TP'!$AC:$AC,"İcra olunmayıb",'DP və TP'!$AD:$AD,"&lt;=4")</f>
        <v>0</v>
      </c>
      <c r="I36" s="32">
        <f>COUNTIFS('DP və TP'!$B:$B,B36,
'DP və TP'!$AC:$AC,"İcra olunmayıb, prioritet deyil",'DP və TP'!$AD:$AD,"&lt;=4")</f>
        <v>0</v>
      </c>
      <c r="J36" s="33">
        <f>COUNTIFS('DP və TP'!$B:$B,B36,
'DP və TP'!$K:$K,"Tapşırıqların İcrasına Nəzarət platforması üzrə",
'DP və TP'!$AC:$AC,"Tam icra",'DP və TP'!$AD:$AD,"&lt;=4")</f>
        <v>0</v>
      </c>
      <c r="K36" s="33">
        <f>COUNTIFS('DP və TP'!$B:$B,B36,
'DP və TP'!$K:$K,"Tapşırıqların İcrasına Nəzarət platforması üzrə",
'DP və TP'!$AC:$AC,"Qismən icra",'DP və TP'!$AD:$AD,"&lt;=4")</f>
        <v>0</v>
      </c>
      <c r="L36" s="33">
        <f>COUNTIFS('DP və TP'!$B:$B,B36,
'DP və TP'!$K:$K,"Tapşırıqların İcrasına Nəzarət platforması üzrə",
'DP və TP'!$AC:$AC,"İcra müddətinə var",'DP və TP'!$AD:$AD,"&lt;=4")</f>
        <v>0</v>
      </c>
      <c r="M36" s="33">
        <f>COUNTIFS('DP və TP'!$B:$B,B36,
'DP və TP'!$K:$K,"Tapşırıqların İcrasına Nəzarət platforması üzrə",
'DP və TP'!$AC:$AC,"Gecikmə",'DP və TP'!$AD:$AD,"&lt;=4")</f>
        <v>0</v>
      </c>
      <c r="N36" s="33">
        <f>COUNTIFS('DP və TP'!$B:$B,B36,
'DP və TP'!$K:$K,"Tapşırıqların İcrasına Nəzarət platforması üzrə",
'DP və TP'!$AC:$AC,"İcra olunmayıb",'DP və TP'!$AD:$AD,"&lt;=4")</f>
        <v>0</v>
      </c>
      <c r="O36" s="34">
        <f>COUNTIFS('DP və TP'!$B:$B,B36,
'DP və TP'!$K:$K,"Tapşırıqların İcrasına Nəzarət platforması üzrə",
'DP və TP'!$AC:$AC,"İcra olunmayıb, prioritet deyil",'DP və TP'!$AD:$AD,"&lt;=4")</f>
        <v>0</v>
      </c>
      <c r="P36" s="40">
        <f>SUM(J36:O36)</f>
        <v>0</v>
      </c>
    </row>
    <row r="37" spans="1:16" ht="46.5" customHeight="1" x14ac:dyDescent="0.3">
      <c r="A37" s="22">
        <v>27</v>
      </c>
      <c r="B37" s="52" t="s">
        <v>681</v>
      </c>
      <c r="C37" s="77">
        <f>COUNTIFS('DP və TP'!$B:$B,B37,'DP və TP'!$AD:$AD,"&lt;=4")</f>
        <v>3</v>
      </c>
      <c r="D37" s="81">
        <f>COUNTIFS('DP və TP'!$B:$B,B37,'DP və TP'!$AC:$AC,"Tam icra",'DP və TP'!$AD:$AD,"&lt;=4")</f>
        <v>0</v>
      </c>
      <c r="E37" s="32">
        <f>COUNTIFS('DP və TP'!$B:$B,B37,
'DP və TP'!$AC:$AC,"Qismən icra",'DP və TP'!$AD:$AD,"&lt;=4")</f>
        <v>0</v>
      </c>
      <c r="F37" s="32">
        <f>COUNTIFS('DP və TP'!$B:$B,B37,
'DP və TP'!$AC:$AC,"İcra müddətinə var",'DP və TP'!$AD:$AD,"&lt;=4")</f>
        <v>0</v>
      </c>
      <c r="G37" s="32">
        <f>COUNTIFS('DP və TP'!$B:$B,B37,
'DP və TP'!$AC:$AC,"Gecikmə",'DP və TP'!$AD:$AD,"&lt;=4")</f>
        <v>0</v>
      </c>
      <c r="H37" s="32">
        <f>COUNTIFS('DP və TP'!$B:$B,B37,
'DP və TP'!$AC:$AC,"İcra olunmayıb",'DP və TP'!$AD:$AD,"&lt;=4")</f>
        <v>0</v>
      </c>
      <c r="I37" s="32">
        <f>COUNTIFS('DP və TP'!$B:$B,B37,
'DP və TP'!$AC:$AC,"İcra olunmayıb, prioritet deyil",'DP və TP'!$AD:$AD,"&lt;=4")</f>
        <v>0</v>
      </c>
      <c r="J37" s="33">
        <f>COUNTIFS('DP və TP'!$B:$B,B37,
'DP və TP'!$K:$K,"Tapşırıqların İcrasına Nəzarət platforması üzrə",
'DP və TP'!$AC:$AC,"Tam icra",'DP və TP'!$AD:$AD,"&lt;=4")</f>
        <v>0</v>
      </c>
      <c r="K37" s="33">
        <f>COUNTIFS('DP və TP'!$B:$B,B37,
'DP və TP'!$K:$K,"Tapşırıqların İcrasına Nəzarət platforması üzrə",
'DP və TP'!$AC:$AC,"Qismən icra",'DP və TP'!$AD:$AD,"&lt;=4")</f>
        <v>0</v>
      </c>
      <c r="L37" s="33">
        <f>COUNTIFS('DP və TP'!$B:$B,B37,
'DP və TP'!$K:$K,"Tapşırıqların İcrasına Nəzarət platforması üzrə",
'DP və TP'!$AC:$AC,"İcra müddətinə var",'DP və TP'!$AD:$AD,"&lt;=4")</f>
        <v>0</v>
      </c>
      <c r="M37" s="33">
        <f>COUNTIFS('DP və TP'!$B:$B,B37,
'DP və TP'!$K:$K,"Tapşırıqların İcrasına Nəzarət platforması üzrə",
'DP və TP'!$AC:$AC,"Gecikmə",'DP və TP'!$AD:$AD,"&lt;=4")</f>
        <v>0</v>
      </c>
      <c r="N37" s="33">
        <f>COUNTIFS('DP və TP'!$B:$B,B37,
'DP və TP'!$K:$K,"Tapşırıqların İcrasına Nəzarət platforması üzrə",
'DP və TP'!$AC:$AC,"İcra olunmayıb",'DP və TP'!$AD:$AD,"&lt;=4")</f>
        <v>0</v>
      </c>
      <c r="O37" s="34">
        <f>COUNTIFS('DP və TP'!$B:$B,B37,
'DP və TP'!$K:$K,"Tapşırıqların İcrasına Nəzarət platforması üzrə",
'DP və TP'!$AC:$AC,"İcra olunmayıb, prioritet deyil",'DP və TP'!$AD:$AD,"&lt;=4")</f>
        <v>0</v>
      </c>
      <c r="P37" s="40"/>
    </row>
    <row r="38" spans="1:16" ht="60.75" customHeight="1" x14ac:dyDescent="0.3">
      <c r="A38" s="22">
        <v>28</v>
      </c>
      <c r="B38" s="52" t="s">
        <v>550</v>
      </c>
      <c r="C38" s="77">
        <f>COUNTIFS('DP və TP'!$B:$B,B38,'DP və TP'!$AD:$AD,"&lt;=4")</f>
        <v>4</v>
      </c>
      <c r="D38" s="82">
        <f>COUNTIFS('DP və TP'!$B:$B,B38,'DP və TP'!$AC:$AC,"Tam icra",'DP və TP'!$AD:$AD,"&lt;=4")</f>
        <v>0</v>
      </c>
      <c r="E38" s="83">
        <f>COUNTIFS('DP və TP'!$B:$B,B38,
'DP və TP'!$AC:$AC,"Qismən icra",'DP və TP'!$AD:$AD,"&lt;=4")</f>
        <v>0</v>
      </c>
      <c r="F38" s="83">
        <f>COUNTIFS('DP və TP'!$B:$B,B38,
'DP və TP'!$AC:$AC,"İcra müddətinə var",'DP və TP'!$AD:$AD,"&lt;=4")</f>
        <v>0</v>
      </c>
      <c r="G38" s="83">
        <f>COUNTIFS('DP və TP'!$B:$B,B38,
'DP və TP'!$AC:$AC,"Gecikmə",'DP və TP'!$AD:$AD,"&lt;=4")</f>
        <v>0</v>
      </c>
      <c r="H38" s="83">
        <f>COUNTIFS('DP və TP'!$B:$B,B38,
'DP və TP'!$AC:$AC,"İcra olunmayıb",'DP və TP'!$AD:$AD,"&lt;=4")</f>
        <v>0</v>
      </c>
      <c r="I38" s="83">
        <f>COUNTIFS('DP və TP'!$B:$B,B38,
'DP və TP'!$AC:$AC,"İcra olunmayıb, prioritet deyil",'DP və TP'!$AD:$AD,"&lt;=4")</f>
        <v>0</v>
      </c>
      <c r="J38" s="54">
        <f>COUNTIFS('DP və TP'!$B:$B,B38,
'DP və TP'!$K:$K,"Tapşırıqların İcrasına Nəzarət platforması üzrə",
'DP və TP'!$AC:$AC,"Tam icra",'DP və TP'!$AD:$AD,"&lt;=4")</f>
        <v>0</v>
      </c>
      <c r="K38" s="54">
        <f>COUNTIFS('DP və TP'!$B:$B,B38,
'DP və TP'!$K:$K,"Tapşırıqların İcrasına Nəzarət platforması üzrə",
'DP və TP'!$AC:$AC,"Qismən icra",'DP və TP'!$AD:$AD,"&lt;=4")</f>
        <v>0</v>
      </c>
      <c r="L38" s="54">
        <f>COUNTIFS('DP və TP'!$B:$B,B38,
'DP və TP'!$K:$K,"Tapşırıqların İcrasına Nəzarət platforması üzrə",
'DP və TP'!$AC:$AC,"İcra müddətinə var",'DP və TP'!$AD:$AD,"&lt;=4")</f>
        <v>0</v>
      </c>
      <c r="M38" s="54">
        <f>COUNTIFS('DP və TP'!$B:$B,B38,
'DP və TP'!$K:$K,"Tapşırıqların İcrasına Nəzarət platforması üzrə",
'DP və TP'!$AC:$AC,"Gecikmə",'DP və TP'!$AD:$AD,"&lt;=4")</f>
        <v>0</v>
      </c>
      <c r="N38" s="54">
        <f>COUNTIFS('DP və TP'!$B:$B,B38,
'DP və TP'!$K:$K,"Tapşırıqların İcrasına Nəzarət platforması üzrə",
'DP və TP'!$AC:$AC,"İcra olunmayıb",'DP və TP'!$AD:$AD,"&lt;=4")</f>
        <v>0</v>
      </c>
      <c r="O38" s="55">
        <f>COUNTIFS('DP və TP'!$B:$B,B38,
'DP və TP'!$K:$K,"Tapşırıqların İcrasına Nəzarət platforması üzrə",
'DP və TP'!$AC:$AC,"İcra olunmayıb, prioritet deyil",'DP və TP'!$AD:$AD,"&lt;=4")</f>
        <v>0</v>
      </c>
      <c r="P38" s="56">
        <f>SUM(J38:O38)</f>
        <v>0</v>
      </c>
    </row>
    <row r="39" spans="1:16" ht="16.5" customHeight="1" x14ac:dyDescent="0.3">
      <c r="A39" s="153" t="s">
        <v>1088</v>
      </c>
      <c r="B39" s="153"/>
      <c r="C39" s="1">
        <f t="shared" ref="C39:I39" si="2">SUM(C11:C38)</f>
        <v>319</v>
      </c>
      <c r="D39" s="84">
        <f t="shared" si="2"/>
        <v>0</v>
      </c>
      <c r="E39" s="84">
        <f t="shared" si="2"/>
        <v>0</v>
      </c>
      <c r="F39" s="84">
        <f t="shared" si="2"/>
        <v>0</v>
      </c>
      <c r="G39" s="84">
        <f t="shared" si="2"/>
        <v>0</v>
      </c>
      <c r="H39" s="84">
        <f t="shared" si="2"/>
        <v>0</v>
      </c>
      <c r="I39" s="84">
        <f t="shared" si="2"/>
        <v>0</v>
      </c>
      <c r="J39" s="60">
        <f t="shared" ref="J39:P39" si="3">SUM(J11:J33)</f>
        <v>0</v>
      </c>
      <c r="K39" s="60">
        <f t="shared" si="3"/>
        <v>0</v>
      </c>
      <c r="L39" s="60">
        <f t="shared" si="3"/>
        <v>0</v>
      </c>
      <c r="M39" s="60">
        <f t="shared" si="3"/>
        <v>0</v>
      </c>
      <c r="N39" s="60">
        <f t="shared" si="3"/>
        <v>0</v>
      </c>
      <c r="O39" s="60">
        <f t="shared" si="3"/>
        <v>0</v>
      </c>
      <c r="P39" s="40">
        <f t="shared" si="3"/>
        <v>0</v>
      </c>
    </row>
    <row r="40" spans="1:16" ht="15.75" customHeight="1" x14ac:dyDescent="0.3">
      <c r="B40" s="62"/>
      <c r="C40" s="62"/>
    </row>
    <row r="41" spans="1:16" ht="31.5" customHeight="1" x14ac:dyDescent="0.3">
      <c r="B41" s="65"/>
      <c r="C41" s="65"/>
      <c r="D41" s="65"/>
    </row>
    <row r="42" spans="1:16" ht="27" customHeight="1" x14ac:dyDescent="0.3">
      <c r="B42" s="65"/>
      <c r="C42" s="65"/>
      <c r="D42" s="65"/>
    </row>
    <row r="43" spans="1:16" ht="25.5" customHeight="1" x14ac:dyDescent="0.3">
      <c r="B43" s="65"/>
      <c r="C43" s="65"/>
      <c r="D43" s="65"/>
    </row>
    <row r="45" spans="1:16" ht="15" customHeight="1" x14ac:dyDescent="0.3">
      <c r="B45" s="66"/>
      <c r="C45" s="66"/>
    </row>
    <row r="46" spans="1:16" ht="18" customHeight="1" x14ac:dyDescent="0.3">
      <c r="B46" s="66"/>
      <c r="C46" s="66"/>
    </row>
  </sheetData>
  <mergeCells count="6">
    <mergeCell ref="J9:P9"/>
    <mergeCell ref="A39:B39"/>
    <mergeCell ref="A9:A10"/>
    <mergeCell ref="B9:B10"/>
    <mergeCell ref="C9:C10"/>
    <mergeCell ref="D9:I9"/>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
  <sheetViews>
    <sheetView zoomScaleNormal="100" workbookViewId="0">
      <selection activeCell="C4" sqref="C4:C7"/>
    </sheetView>
  </sheetViews>
  <sheetFormatPr defaultColWidth="8.6640625" defaultRowHeight="15" customHeight="1" x14ac:dyDescent="0.3"/>
  <cols>
    <col min="1" max="1" width="25.6640625" customWidth="1"/>
    <col min="3" max="3" width="60.109375" customWidth="1"/>
  </cols>
  <sheetData>
    <row r="1" spans="1:6" ht="15" customHeight="1" x14ac:dyDescent="0.3">
      <c r="A1" s="85" t="s">
        <v>35</v>
      </c>
      <c r="B1" s="86"/>
      <c r="C1" s="86" t="s">
        <v>38</v>
      </c>
      <c r="D1" s="86"/>
      <c r="E1" s="86"/>
      <c r="F1" s="86"/>
    </row>
    <row r="2" spans="1:6" ht="15" customHeight="1" x14ac:dyDescent="0.3">
      <c r="A2" s="85" t="s">
        <v>37</v>
      </c>
      <c r="B2" s="86"/>
      <c r="C2" s="86" t="s">
        <v>145</v>
      </c>
      <c r="D2" s="86"/>
      <c r="E2" s="86"/>
      <c r="F2" s="86"/>
    </row>
    <row r="3" spans="1:6" ht="15" customHeight="1" x14ac:dyDescent="0.3">
      <c r="A3" s="85"/>
      <c r="B3" s="86"/>
      <c r="C3" s="86"/>
      <c r="D3" s="86"/>
      <c r="E3" s="86"/>
      <c r="F3" s="86"/>
    </row>
    <row r="4" spans="1:6" ht="15" customHeight="1" x14ac:dyDescent="0.3">
      <c r="A4" s="85" t="s">
        <v>43</v>
      </c>
      <c r="B4" s="86"/>
      <c r="C4" s="146">
        <v>1</v>
      </c>
      <c r="D4" s="86"/>
      <c r="E4" s="86"/>
      <c r="F4" s="86"/>
    </row>
    <row r="5" spans="1:6" ht="15" customHeight="1" x14ac:dyDescent="0.3">
      <c r="A5" s="85" t="s">
        <v>42</v>
      </c>
      <c r="B5" s="86"/>
      <c r="C5" s="146">
        <v>2</v>
      </c>
      <c r="D5" s="86"/>
      <c r="E5" s="86"/>
      <c r="F5" s="86"/>
    </row>
    <row r="6" spans="1:6" ht="15" customHeight="1" x14ac:dyDescent="0.3">
      <c r="A6" s="85" t="s">
        <v>79</v>
      </c>
      <c r="B6" s="86"/>
      <c r="C6" s="146">
        <v>3</v>
      </c>
      <c r="D6" s="86"/>
      <c r="E6" s="86"/>
      <c r="F6" s="86"/>
    </row>
    <row r="7" spans="1:6" ht="15" customHeight="1" x14ac:dyDescent="0.3">
      <c r="A7" s="85" t="s">
        <v>185</v>
      </c>
      <c r="B7" s="86"/>
      <c r="C7" s="146">
        <v>4</v>
      </c>
      <c r="D7" s="86"/>
      <c r="E7" s="86"/>
      <c r="F7" s="86"/>
    </row>
    <row r="8" spans="1:6" ht="15" customHeight="1" x14ac:dyDescent="0.3">
      <c r="A8" s="85" t="s">
        <v>75</v>
      </c>
      <c r="B8" s="86"/>
      <c r="C8" s="86"/>
      <c r="D8" s="86"/>
      <c r="E8" s="86"/>
      <c r="F8" s="86"/>
    </row>
    <row r="9" spans="1:6" ht="30" customHeight="1" x14ac:dyDescent="0.3">
      <c r="A9" s="85" t="s">
        <v>91</v>
      </c>
      <c r="B9" s="86"/>
      <c r="C9" s="86"/>
      <c r="D9" s="86"/>
      <c r="E9" s="86"/>
      <c r="F9" s="86"/>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DP və TP</vt:lpstr>
      <vt:lpstr>Hesabat I</vt:lpstr>
      <vt:lpstr>Hesabat II</vt:lpstr>
      <vt:lpstr>Hesabat yarımillik</vt:lpstr>
      <vt:lpstr>Hesabat III</vt:lpstr>
      <vt:lpstr>Hesabat IV</vt:lpstr>
      <vt:lpstr>Hesabat illik</vt:lpstr>
      <vt:lpstr>DATA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2026-10-14T19:03:45Z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cp:lastPrinted>2026-08-13T07:15:50Z</cp:lastPrinted>
  <dcterms:modified xsi:type="dcterms:W3CDTF">2026-08-13T13:06:45Z</dcterms:modified>
  <cp:revision>0</cp:revision>
  <dc:subject/>
  <dc:title/>
</cp:coreProperties>
</file>